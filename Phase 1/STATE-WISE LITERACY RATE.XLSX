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Jacob\Desktop\Phase 1\Literacy Rate in each state\Excel\"/>
    </mc:Choice>
  </mc:AlternateContent>
  <xr:revisionPtr revIDLastSave="0" documentId="13_ncr:1_{19CE82F7-28E2-47D6-BCB2-49CB2145900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Literacy Rate" sheetId="1" r:id="rId1"/>
    <sheet name="Assumed Literacy Rate" sheetId="2" r:id="rId2"/>
    <sheet name="Compiled Data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17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282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47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12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177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42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07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72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3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2" i="3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E5" i="2"/>
  <c r="F5" i="2" s="1"/>
  <c r="G5" i="2" s="1"/>
  <c r="H5" i="2" s="1"/>
  <c r="I5" i="2" s="1"/>
  <c r="J5" i="2" s="1"/>
  <c r="K5" i="2" s="1"/>
  <c r="E6" i="2"/>
  <c r="F6" i="2" s="1"/>
  <c r="G6" i="2" s="1"/>
  <c r="H6" i="2" s="1"/>
  <c r="I6" i="2" s="1"/>
  <c r="J6" i="2" s="1"/>
  <c r="K6" i="2" s="1"/>
  <c r="E13" i="2"/>
  <c r="F13" i="2" s="1"/>
  <c r="G13" i="2" s="1"/>
  <c r="H13" i="2" s="1"/>
  <c r="I13" i="2" s="1"/>
  <c r="J13" i="2" s="1"/>
  <c r="K13" i="2" s="1"/>
  <c r="E14" i="2"/>
  <c r="F14" i="2" s="1"/>
  <c r="G14" i="2" s="1"/>
  <c r="H14" i="2" s="1"/>
  <c r="I14" i="2" s="1"/>
  <c r="J14" i="2" s="1"/>
  <c r="K14" i="2" s="1"/>
  <c r="E21" i="2"/>
  <c r="F21" i="2" s="1"/>
  <c r="G21" i="2" s="1"/>
  <c r="H21" i="2" s="1"/>
  <c r="I21" i="2" s="1"/>
  <c r="J21" i="2" s="1"/>
  <c r="K21" i="2" s="1"/>
  <c r="E22" i="2"/>
  <c r="F22" i="2" s="1"/>
  <c r="G22" i="2" s="1"/>
  <c r="H22" i="2" s="1"/>
  <c r="I22" i="2" s="1"/>
  <c r="J22" i="2" s="1"/>
  <c r="K22" i="2" s="1"/>
  <c r="E29" i="2"/>
  <c r="F29" i="2" s="1"/>
  <c r="G29" i="2" s="1"/>
  <c r="H29" i="2" s="1"/>
  <c r="I29" i="2" s="1"/>
  <c r="J29" i="2" s="1"/>
  <c r="K29" i="2" s="1"/>
  <c r="E30" i="2"/>
  <c r="F30" i="2" s="1"/>
  <c r="G30" i="2" s="1"/>
  <c r="H30" i="2" s="1"/>
  <c r="I30" i="2" s="1"/>
  <c r="J30" i="2" s="1"/>
  <c r="K30" i="2" s="1"/>
  <c r="E37" i="2"/>
  <c r="F37" i="2" s="1"/>
  <c r="G37" i="2" s="1"/>
  <c r="H37" i="2" s="1"/>
  <c r="I37" i="2" s="1"/>
  <c r="J37" i="2" s="1"/>
  <c r="K37" i="2" s="1"/>
  <c r="E2" i="2"/>
  <c r="F2" i="2" s="1"/>
  <c r="G2" i="2" s="1"/>
  <c r="H2" i="2" s="1"/>
  <c r="I2" i="2" s="1"/>
  <c r="J2" i="2" s="1"/>
  <c r="K2" i="2" s="1"/>
  <c r="D5" i="2"/>
  <c r="D6" i="2"/>
  <c r="D9" i="2"/>
  <c r="E9" i="2" s="1"/>
  <c r="F9" i="2" s="1"/>
  <c r="G9" i="2" s="1"/>
  <c r="H9" i="2" s="1"/>
  <c r="I9" i="2" s="1"/>
  <c r="J9" i="2" s="1"/>
  <c r="K9" i="2" s="1"/>
  <c r="D10" i="2"/>
  <c r="E10" i="2" s="1"/>
  <c r="F10" i="2" s="1"/>
  <c r="G10" i="2" s="1"/>
  <c r="H10" i="2" s="1"/>
  <c r="I10" i="2" s="1"/>
  <c r="J10" i="2" s="1"/>
  <c r="K10" i="2" s="1"/>
  <c r="D13" i="2"/>
  <c r="D14" i="2"/>
  <c r="D17" i="2"/>
  <c r="E17" i="2" s="1"/>
  <c r="F17" i="2" s="1"/>
  <c r="G17" i="2" s="1"/>
  <c r="H17" i="2" s="1"/>
  <c r="I17" i="2" s="1"/>
  <c r="J17" i="2" s="1"/>
  <c r="K17" i="2" s="1"/>
  <c r="D18" i="2"/>
  <c r="E18" i="2" s="1"/>
  <c r="F18" i="2" s="1"/>
  <c r="G18" i="2" s="1"/>
  <c r="H18" i="2" s="1"/>
  <c r="I18" i="2" s="1"/>
  <c r="J18" i="2" s="1"/>
  <c r="K18" i="2" s="1"/>
  <c r="D21" i="2"/>
  <c r="D22" i="2"/>
  <c r="D25" i="2"/>
  <c r="E25" i="2" s="1"/>
  <c r="F25" i="2" s="1"/>
  <c r="G25" i="2" s="1"/>
  <c r="H25" i="2" s="1"/>
  <c r="I25" i="2" s="1"/>
  <c r="J25" i="2" s="1"/>
  <c r="K25" i="2" s="1"/>
  <c r="D26" i="2"/>
  <c r="E26" i="2" s="1"/>
  <c r="F26" i="2" s="1"/>
  <c r="G26" i="2" s="1"/>
  <c r="H26" i="2" s="1"/>
  <c r="I26" i="2" s="1"/>
  <c r="J26" i="2" s="1"/>
  <c r="K26" i="2" s="1"/>
  <c r="D29" i="2"/>
  <c r="D30" i="2"/>
  <c r="D33" i="2"/>
  <c r="E33" i="2" s="1"/>
  <c r="F33" i="2" s="1"/>
  <c r="G33" i="2" s="1"/>
  <c r="H33" i="2" s="1"/>
  <c r="I33" i="2" s="1"/>
  <c r="J33" i="2" s="1"/>
  <c r="K33" i="2" s="1"/>
  <c r="D34" i="2"/>
  <c r="E34" i="2" s="1"/>
  <c r="F34" i="2" s="1"/>
  <c r="G34" i="2" s="1"/>
  <c r="H34" i="2" s="1"/>
  <c r="I34" i="2" s="1"/>
  <c r="J34" i="2" s="1"/>
  <c r="K34" i="2" s="1"/>
  <c r="D37" i="2"/>
  <c r="D2" i="2"/>
  <c r="C5" i="2"/>
  <c r="C6" i="2"/>
  <c r="C7" i="2"/>
  <c r="D7" i="2" s="1"/>
  <c r="E7" i="2" s="1"/>
  <c r="F7" i="2" s="1"/>
  <c r="G7" i="2" s="1"/>
  <c r="H7" i="2" s="1"/>
  <c r="I7" i="2" s="1"/>
  <c r="J7" i="2" s="1"/>
  <c r="K7" i="2" s="1"/>
  <c r="C8" i="2"/>
  <c r="D8" i="2" s="1"/>
  <c r="E8" i="2" s="1"/>
  <c r="F8" i="2" s="1"/>
  <c r="G8" i="2" s="1"/>
  <c r="H8" i="2" s="1"/>
  <c r="I8" i="2" s="1"/>
  <c r="J8" i="2" s="1"/>
  <c r="K8" i="2" s="1"/>
  <c r="C9" i="2"/>
  <c r="C10" i="2"/>
  <c r="C11" i="2"/>
  <c r="D11" i="2" s="1"/>
  <c r="E11" i="2" s="1"/>
  <c r="F11" i="2" s="1"/>
  <c r="G11" i="2" s="1"/>
  <c r="H11" i="2" s="1"/>
  <c r="I11" i="2" s="1"/>
  <c r="J11" i="2" s="1"/>
  <c r="K11" i="2" s="1"/>
  <c r="C12" i="2"/>
  <c r="D12" i="2" s="1"/>
  <c r="E12" i="2" s="1"/>
  <c r="F12" i="2" s="1"/>
  <c r="G12" i="2" s="1"/>
  <c r="H12" i="2" s="1"/>
  <c r="I12" i="2" s="1"/>
  <c r="J12" i="2" s="1"/>
  <c r="K12" i="2" s="1"/>
  <c r="C13" i="2"/>
  <c r="C14" i="2"/>
  <c r="C15" i="2"/>
  <c r="D15" i="2" s="1"/>
  <c r="E15" i="2" s="1"/>
  <c r="F15" i="2" s="1"/>
  <c r="G15" i="2" s="1"/>
  <c r="H15" i="2" s="1"/>
  <c r="I15" i="2" s="1"/>
  <c r="J15" i="2" s="1"/>
  <c r="K15" i="2" s="1"/>
  <c r="C16" i="2"/>
  <c r="D16" i="2" s="1"/>
  <c r="E16" i="2" s="1"/>
  <c r="F16" i="2" s="1"/>
  <c r="G16" i="2" s="1"/>
  <c r="H16" i="2" s="1"/>
  <c r="I16" i="2" s="1"/>
  <c r="J16" i="2" s="1"/>
  <c r="K16" i="2" s="1"/>
  <c r="C17" i="2"/>
  <c r="C18" i="2"/>
  <c r="C19" i="2"/>
  <c r="D19" i="2" s="1"/>
  <c r="E19" i="2" s="1"/>
  <c r="F19" i="2" s="1"/>
  <c r="G19" i="2" s="1"/>
  <c r="H19" i="2" s="1"/>
  <c r="I19" i="2" s="1"/>
  <c r="J19" i="2" s="1"/>
  <c r="K19" i="2" s="1"/>
  <c r="C20" i="2"/>
  <c r="D20" i="2" s="1"/>
  <c r="E20" i="2" s="1"/>
  <c r="F20" i="2" s="1"/>
  <c r="G20" i="2" s="1"/>
  <c r="H20" i="2" s="1"/>
  <c r="I20" i="2" s="1"/>
  <c r="J20" i="2" s="1"/>
  <c r="K20" i="2" s="1"/>
  <c r="C21" i="2"/>
  <c r="C22" i="2"/>
  <c r="C23" i="2"/>
  <c r="D23" i="2" s="1"/>
  <c r="E23" i="2" s="1"/>
  <c r="F23" i="2" s="1"/>
  <c r="G23" i="2" s="1"/>
  <c r="H23" i="2" s="1"/>
  <c r="I23" i="2" s="1"/>
  <c r="J23" i="2" s="1"/>
  <c r="K23" i="2" s="1"/>
  <c r="C24" i="2"/>
  <c r="D24" i="2" s="1"/>
  <c r="E24" i="2" s="1"/>
  <c r="F24" i="2" s="1"/>
  <c r="G24" i="2" s="1"/>
  <c r="H24" i="2" s="1"/>
  <c r="I24" i="2" s="1"/>
  <c r="J24" i="2" s="1"/>
  <c r="K24" i="2" s="1"/>
  <c r="C25" i="2"/>
  <c r="C26" i="2"/>
  <c r="C27" i="2"/>
  <c r="D27" i="2" s="1"/>
  <c r="E27" i="2" s="1"/>
  <c r="F27" i="2" s="1"/>
  <c r="G27" i="2" s="1"/>
  <c r="H27" i="2" s="1"/>
  <c r="I27" i="2" s="1"/>
  <c r="J27" i="2" s="1"/>
  <c r="K27" i="2" s="1"/>
  <c r="C28" i="2"/>
  <c r="D28" i="2" s="1"/>
  <c r="E28" i="2" s="1"/>
  <c r="F28" i="2" s="1"/>
  <c r="G28" i="2" s="1"/>
  <c r="H28" i="2" s="1"/>
  <c r="I28" i="2" s="1"/>
  <c r="J28" i="2" s="1"/>
  <c r="K28" i="2" s="1"/>
  <c r="C29" i="2"/>
  <c r="C30" i="2"/>
  <c r="C31" i="2"/>
  <c r="D31" i="2" s="1"/>
  <c r="E31" i="2" s="1"/>
  <c r="F31" i="2" s="1"/>
  <c r="G31" i="2" s="1"/>
  <c r="H31" i="2" s="1"/>
  <c r="I31" i="2" s="1"/>
  <c r="J31" i="2" s="1"/>
  <c r="K31" i="2" s="1"/>
  <c r="C32" i="2"/>
  <c r="D32" i="2" s="1"/>
  <c r="E32" i="2" s="1"/>
  <c r="F32" i="2" s="1"/>
  <c r="G32" i="2" s="1"/>
  <c r="H32" i="2" s="1"/>
  <c r="I32" i="2" s="1"/>
  <c r="J32" i="2" s="1"/>
  <c r="K32" i="2" s="1"/>
  <c r="C33" i="2"/>
  <c r="C34" i="2"/>
  <c r="C35" i="2"/>
  <c r="D35" i="2" s="1"/>
  <c r="E35" i="2" s="1"/>
  <c r="F35" i="2" s="1"/>
  <c r="G35" i="2" s="1"/>
  <c r="H35" i="2" s="1"/>
  <c r="I35" i="2" s="1"/>
  <c r="J35" i="2" s="1"/>
  <c r="K35" i="2" s="1"/>
  <c r="C36" i="2"/>
  <c r="D36" i="2" s="1"/>
  <c r="E36" i="2" s="1"/>
  <c r="F36" i="2" s="1"/>
  <c r="G36" i="2" s="1"/>
  <c r="H36" i="2" s="1"/>
  <c r="I36" i="2" s="1"/>
  <c r="J36" i="2" s="1"/>
  <c r="K36" i="2" s="1"/>
  <c r="C37" i="2"/>
  <c r="C4" i="2"/>
  <c r="D4" i="2" s="1"/>
  <c r="E4" i="2" s="1"/>
  <c r="F4" i="2" s="1"/>
  <c r="G4" i="2" s="1"/>
  <c r="H4" i="2" s="1"/>
  <c r="I4" i="2" s="1"/>
  <c r="J4" i="2" s="1"/>
  <c r="K4" i="2" s="1"/>
  <c r="M3" i="2"/>
  <c r="C3" i="2"/>
  <c r="D3" i="2" s="1"/>
  <c r="E3" i="2" s="1"/>
  <c r="F3" i="2" s="1"/>
  <c r="G3" i="2" s="1"/>
  <c r="H3" i="2" s="1"/>
  <c r="I3" i="2" s="1"/>
  <c r="J3" i="2" s="1"/>
  <c r="K3" i="2" s="1"/>
  <c r="C2" i="2"/>
  <c r="M2" i="2"/>
</calcChain>
</file>

<file path=xl/sharedStrings.xml><?xml version="1.0" encoding="utf-8"?>
<sst xmlns="http://schemas.openxmlformats.org/spreadsheetml/2006/main" count="458" uniqueCount="42">
  <si>
    <t>Andaman &amp; Nicobar Islands</t>
  </si>
  <si>
    <t>Andhra Pradesh</t>
  </si>
  <si>
    <t>-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</si>
  <si>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</si>
  <si>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</si>
  <si>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</si>
  <si>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</si>
  <si>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</si>
  <si>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</si>
  <si>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</si>
  <si>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</si>
  <si>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</si>
  <si>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</si>
  <si>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</si>
  <si>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</si>
  <si>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</si>
  <si>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</si>
  <si>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</si>
  <si>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</si>
  <si>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</si>
  <si>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</si>
  <si>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</si>
  <si>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</si>
  <si>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</si>
  <si>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</si>
  <si>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</si>
  <si>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</si>
  <si>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</si>
  <si>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</si>
  <si>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</si>
  <si>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</si>
  <si>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</si>
  <si>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</si>
  <si>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</si>
  <si>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</si>
  <si>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</si>
  <si>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ALL INDIA</t>
  </si>
  <si>
    <t>Rate of change</t>
  </si>
  <si>
    <t>STATE/UT</t>
  </si>
  <si>
    <t>Year</t>
  </si>
  <si>
    <t>Literacy Rate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</si>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</sst>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2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scar%20Jacob\Desktop\Phase%201\The%20population%20of%20each%20state\EXCEL\State%20Wise%20Total%20Population%20-%20RBI%20(excel).XLSX" TargetMode="External"/><Relationship Id="rId1" Type="http://schemas.openxmlformats.org/officeDocument/2006/relationships/externalLinkPath" Target="/Users/Oscar%20Jacob/Desktop/Phase%201/The%20population%20of%20each%20state/EXCEL/State%20Wise%20Total%20Population%20-%20RBI%20(exce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1"/>
      <sheetName val="Sheet1"/>
    </sheetNames>
    <sheetDataSet>
      <sheetData sheetId="0">
        <row r="5">
          <cell r="H5">
            <v>356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/>
  </sheetViews>
  <sheetFormatPr defaultColWidth="9.109375" defaultRowHeight="13.2" x14ac:dyDescent="0.25"/>
  <cols>
    <col min="1" max="1" width="33.88671875" style="1" customWidth="1"/>
    <col min="2" max="8" width="11.44140625" style="1" customWidth="1"/>
    <col min="9" max="16384" width="9.109375" style="1"/>
  </cols>
  <sheetData>
    <row r="1" spans="1:8" x14ac:dyDescent="0.25">
      <c r="A1" s="3" t="s">
        <v>38</v>
      </c>
      <c r="B1" s="3">
        <v>1951</v>
      </c>
      <c r="C1" s="3">
        <v>1961</v>
      </c>
      <c r="D1" s="3">
        <v>1971</v>
      </c>
      <c r="E1" s="3">
        <v>1981</v>
      </c>
      <c r="F1" s="3">
        <v>1991</v>
      </c>
      <c r="G1" s="3">
        <v>2001</v>
      </c>
      <c r="H1" s="3">
        <v>2011</v>
      </c>
    </row>
    <row r="2" spans="1:8" x14ac:dyDescent="0.25">
      <c r="A2" s="2" t="s">
        <v>0</v>
      </c>
      <c r="B2" s="4">
        <v>30.3</v>
      </c>
      <c r="C2" s="4">
        <v>40.07</v>
      </c>
      <c r="D2" s="4">
        <v>51.15</v>
      </c>
      <c r="E2" s="4">
        <v>63.19</v>
      </c>
      <c r="F2" s="4">
        <v>73.02</v>
      </c>
      <c r="G2" s="4">
        <v>81.3</v>
      </c>
      <c r="H2" s="4">
        <v>86.63</v>
      </c>
    </row>
    <row r="3" spans="1:8" x14ac:dyDescent="0.25">
      <c r="A3" s="2" t="s">
        <v>1</v>
      </c>
      <c r="B3" s="4" t="s">
        <v>2</v>
      </c>
      <c r="C3" s="4">
        <v>21.19</v>
      </c>
      <c r="D3" s="4">
        <v>24.57</v>
      </c>
      <c r="E3" s="4">
        <v>35.659999999999997</v>
      </c>
      <c r="F3" s="4">
        <v>44.08</v>
      </c>
      <c r="G3" s="4">
        <v>60.47</v>
      </c>
      <c r="H3" s="4">
        <v>67.02</v>
      </c>
    </row>
    <row r="4" spans="1:8" x14ac:dyDescent="0.25">
      <c r="A4" s="2" t="s">
        <v>3</v>
      </c>
      <c r="B4" s="4" t="s">
        <v>2</v>
      </c>
      <c r="C4" s="4">
        <v>7.13</v>
      </c>
      <c r="D4" s="4">
        <v>11.29</v>
      </c>
      <c r="E4" s="4">
        <v>25.55</v>
      </c>
      <c r="F4" s="4">
        <v>41.59</v>
      </c>
      <c r="G4" s="4">
        <v>54.34</v>
      </c>
      <c r="H4" s="4">
        <v>65.39</v>
      </c>
    </row>
    <row r="5" spans="1:8" x14ac:dyDescent="0.25">
      <c r="A5" s="2" t="s">
        <v>4</v>
      </c>
      <c r="B5" s="4">
        <v>18.53</v>
      </c>
      <c r="C5" s="4">
        <v>32.950000000000003</v>
      </c>
      <c r="D5" s="4">
        <v>33.94</v>
      </c>
      <c r="E5" s="4" t="s">
        <v>2</v>
      </c>
      <c r="F5" s="4">
        <v>52.89</v>
      </c>
      <c r="G5" s="4">
        <v>63.25</v>
      </c>
      <c r="H5" s="4">
        <v>72.19</v>
      </c>
    </row>
    <row r="6" spans="1:8" x14ac:dyDescent="0.25">
      <c r="A6" s="2" t="s">
        <v>5</v>
      </c>
      <c r="B6" s="4">
        <v>13.49</v>
      </c>
      <c r="C6" s="4">
        <v>21.95</v>
      </c>
      <c r="D6" s="4">
        <v>23.17</v>
      </c>
      <c r="E6" s="4">
        <v>32.32</v>
      </c>
      <c r="F6" s="4">
        <v>37.49</v>
      </c>
      <c r="G6" s="4">
        <v>47</v>
      </c>
      <c r="H6" s="4">
        <v>61.8</v>
      </c>
    </row>
    <row r="7" spans="1:8" x14ac:dyDescent="0.25">
      <c r="A7" s="2" t="s">
        <v>6</v>
      </c>
      <c r="B7" s="4" t="s">
        <v>2</v>
      </c>
      <c r="C7" s="4" t="s">
        <v>2</v>
      </c>
      <c r="D7" s="4">
        <v>70.430000000000007</v>
      </c>
      <c r="E7" s="4">
        <v>74.8</v>
      </c>
      <c r="F7" s="4">
        <v>77.81</v>
      </c>
      <c r="G7" s="4">
        <v>81.94</v>
      </c>
      <c r="H7" s="4">
        <v>86.05</v>
      </c>
    </row>
    <row r="8" spans="1:8" x14ac:dyDescent="0.25">
      <c r="A8" s="2" t="s">
        <v>7</v>
      </c>
      <c r="B8" s="4">
        <v>9.41</v>
      </c>
      <c r="C8" s="4">
        <v>18.14</v>
      </c>
      <c r="D8" s="4">
        <v>24.08</v>
      </c>
      <c r="E8" s="4">
        <v>32.630000000000003</v>
      </c>
      <c r="F8" s="4">
        <v>42.91</v>
      </c>
      <c r="G8" s="4">
        <v>64.66</v>
      </c>
      <c r="H8" s="4">
        <v>70.28</v>
      </c>
    </row>
    <row r="9" spans="1:8" x14ac:dyDescent="0.25">
      <c r="A9" s="2" t="s">
        <v>8</v>
      </c>
      <c r="B9" s="4" t="s">
        <v>2</v>
      </c>
      <c r="C9" s="4" t="s">
        <v>2</v>
      </c>
      <c r="D9" s="4">
        <v>18.13</v>
      </c>
      <c r="E9" s="4">
        <v>32.9</v>
      </c>
      <c r="F9" s="4">
        <v>40.71</v>
      </c>
      <c r="G9" s="4">
        <v>57.63</v>
      </c>
      <c r="H9" s="4">
        <v>76.239999999999995</v>
      </c>
    </row>
    <row r="10" spans="1:8" x14ac:dyDescent="0.25">
      <c r="A10" s="2" t="s">
        <v>9</v>
      </c>
      <c r="B10" s="4" t="s">
        <v>2</v>
      </c>
      <c r="C10" s="4" t="s">
        <v>2</v>
      </c>
      <c r="D10" s="4" t="s">
        <v>2</v>
      </c>
      <c r="E10" s="4" t="s">
        <v>2</v>
      </c>
      <c r="F10" s="4">
        <v>71.2</v>
      </c>
      <c r="G10" s="4">
        <v>78.180000000000007</v>
      </c>
      <c r="H10" s="4">
        <v>87.1</v>
      </c>
    </row>
    <row r="11" spans="1:8" x14ac:dyDescent="0.25">
      <c r="A11" s="2" t="s">
        <v>10</v>
      </c>
      <c r="B11" s="4" t="s">
        <v>2</v>
      </c>
      <c r="C11" s="4">
        <v>61.95</v>
      </c>
      <c r="D11" s="4">
        <v>65.08</v>
      </c>
      <c r="E11" s="4">
        <v>71.94</v>
      </c>
      <c r="F11" s="4">
        <v>75.290000000000006</v>
      </c>
      <c r="G11" s="4">
        <v>81.67</v>
      </c>
      <c r="H11" s="4">
        <v>86.21</v>
      </c>
    </row>
    <row r="12" spans="1:8" x14ac:dyDescent="0.25">
      <c r="A12" s="2" t="s">
        <v>11</v>
      </c>
      <c r="B12" s="4">
        <v>23.48</v>
      </c>
      <c r="C12" s="4">
        <v>35.409999999999997</v>
      </c>
      <c r="D12" s="4">
        <v>51.96</v>
      </c>
      <c r="E12" s="4">
        <v>65.709999999999994</v>
      </c>
      <c r="F12" s="4">
        <v>75.510000000000005</v>
      </c>
      <c r="G12" s="4">
        <v>82.01</v>
      </c>
      <c r="H12" s="4">
        <v>88.7</v>
      </c>
    </row>
    <row r="13" spans="1:8" x14ac:dyDescent="0.25">
      <c r="A13" s="2" t="s">
        <v>12</v>
      </c>
      <c r="B13" s="4">
        <v>21.82</v>
      </c>
      <c r="C13" s="4">
        <v>31.47</v>
      </c>
      <c r="D13" s="4">
        <v>36.950000000000003</v>
      </c>
      <c r="E13" s="4">
        <v>44.92</v>
      </c>
      <c r="F13" s="4">
        <v>61.29</v>
      </c>
      <c r="G13" s="4">
        <v>69.14</v>
      </c>
      <c r="H13" s="4">
        <v>78.03</v>
      </c>
    </row>
    <row r="14" spans="1:8" x14ac:dyDescent="0.25">
      <c r="A14" s="2" t="s">
        <v>13</v>
      </c>
      <c r="B14" s="4" t="s">
        <v>2</v>
      </c>
      <c r="C14" s="4" t="s">
        <v>2</v>
      </c>
      <c r="D14" s="4">
        <v>25.71</v>
      </c>
      <c r="E14" s="4">
        <v>37.130000000000003</v>
      </c>
      <c r="F14" s="4">
        <v>55.85</v>
      </c>
      <c r="G14" s="4">
        <v>67.91</v>
      </c>
      <c r="H14" s="4">
        <v>75.55</v>
      </c>
    </row>
    <row r="15" spans="1:8" x14ac:dyDescent="0.25">
      <c r="A15" s="2" t="s">
        <v>14</v>
      </c>
      <c r="B15" s="4" t="s">
        <v>2</v>
      </c>
      <c r="C15" s="4" t="s">
        <v>2</v>
      </c>
      <c r="D15" s="4" t="s">
        <v>2</v>
      </c>
      <c r="E15" s="4" t="s">
        <v>2</v>
      </c>
      <c r="F15" s="4">
        <v>63.86</v>
      </c>
      <c r="G15" s="4">
        <v>76.48</v>
      </c>
      <c r="H15" s="4">
        <v>82.8</v>
      </c>
    </row>
    <row r="16" spans="1:8" x14ac:dyDescent="0.25">
      <c r="A16" s="2" t="s">
        <v>15</v>
      </c>
      <c r="B16" s="4" t="s">
        <v>2</v>
      </c>
      <c r="C16" s="4">
        <v>12.95</v>
      </c>
      <c r="D16" s="4">
        <v>21.71</v>
      </c>
      <c r="E16" s="4">
        <v>30.64</v>
      </c>
      <c r="F16" s="4" t="s">
        <v>2</v>
      </c>
      <c r="G16" s="4">
        <v>55.52</v>
      </c>
      <c r="H16" s="4">
        <v>67.16</v>
      </c>
    </row>
    <row r="17" spans="1:8" x14ac:dyDescent="0.25">
      <c r="A17" s="2" t="s">
        <v>16</v>
      </c>
      <c r="B17" s="4">
        <v>12.93</v>
      </c>
      <c r="C17" s="4">
        <v>21.14</v>
      </c>
      <c r="D17" s="4">
        <v>23.87</v>
      </c>
      <c r="E17" s="4">
        <v>35.03</v>
      </c>
      <c r="F17" s="4">
        <v>41.39</v>
      </c>
      <c r="G17" s="4">
        <v>53.56</v>
      </c>
      <c r="H17" s="4">
        <v>66.41</v>
      </c>
    </row>
    <row r="18" spans="1:8" x14ac:dyDescent="0.25">
      <c r="A18" s="2" t="s">
        <v>17</v>
      </c>
      <c r="B18" s="4" t="s">
        <v>2</v>
      </c>
      <c r="C18" s="4">
        <v>29.8</v>
      </c>
      <c r="D18" s="4">
        <v>36.83</v>
      </c>
      <c r="E18" s="4">
        <v>46.21</v>
      </c>
      <c r="F18" s="4">
        <v>56.04</v>
      </c>
      <c r="G18" s="4">
        <v>66.599999999999994</v>
      </c>
      <c r="H18" s="4">
        <v>75.37</v>
      </c>
    </row>
    <row r="19" spans="1:8" x14ac:dyDescent="0.25">
      <c r="A19" s="2" t="s">
        <v>18</v>
      </c>
      <c r="B19" s="4">
        <v>47.18</v>
      </c>
      <c r="C19" s="4">
        <v>55.08</v>
      </c>
      <c r="D19" s="4">
        <v>69.75</v>
      </c>
      <c r="E19" s="4">
        <v>78.849999999999994</v>
      </c>
      <c r="F19" s="4">
        <v>89.81</v>
      </c>
      <c r="G19" s="4">
        <v>90.86</v>
      </c>
      <c r="H19" s="4">
        <v>94</v>
      </c>
    </row>
    <row r="20" spans="1:8" x14ac:dyDescent="0.25">
      <c r="A20" s="2" t="s">
        <v>19</v>
      </c>
      <c r="B20" s="4">
        <v>15.23</v>
      </c>
      <c r="C20" s="4">
        <v>27.15</v>
      </c>
      <c r="D20" s="4">
        <v>51.76</v>
      </c>
      <c r="E20" s="4">
        <v>68.42</v>
      </c>
      <c r="F20" s="4">
        <v>81.78</v>
      </c>
      <c r="G20" s="4">
        <v>86.66</v>
      </c>
      <c r="H20" s="4">
        <v>91.85</v>
      </c>
    </row>
    <row r="21" spans="1:8" x14ac:dyDescent="0.25">
      <c r="A21" s="2" t="s">
        <v>20</v>
      </c>
      <c r="B21" s="4">
        <v>13.16</v>
      </c>
      <c r="C21" s="4">
        <v>21.41</v>
      </c>
      <c r="D21" s="4">
        <v>27.27</v>
      </c>
      <c r="E21" s="4">
        <v>38.630000000000003</v>
      </c>
      <c r="F21" s="4">
        <v>44.67</v>
      </c>
      <c r="G21" s="4">
        <v>63.74</v>
      </c>
      <c r="H21" s="4">
        <v>69.319999999999993</v>
      </c>
    </row>
    <row r="22" spans="1:8" x14ac:dyDescent="0.25">
      <c r="A22" s="2" t="s">
        <v>21</v>
      </c>
      <c r="B22" s="4">
        <v>27.91</v>
      </c>
      <c r="C22" s="4">
        <v>35.08</v>
      </c>
      <c r="D22" s="4">
        <v>45.77</v>
      </c>
      <c r="E22" s="4">
        <v>57.24</v>
      </c>
      <c r="F22" s="4">
        <v>64.87</v>
      </c>
      <c r="G22" s="4">
        <v>76.88</v>
      </c>
      <c r="H22" s="4">
        <v>82.34</v>
      </c>
    </row>
    <row r="23" spans="1:8" x14ac:dyDescent="0.25">
      <c r="A23" s="2" t="s">
        <v>22</v>
      </c>
      <c r="B23" s="4">
        <v>12.57</v>
      </c>
      <c r="C23" s="4">
        <v>36.04</v>
      </c>
      <c r="D23" s="4">
        <v>38.47</v>
      </c>
      <c r="E23" s="4">
        <v>49.66</v>
      </c>
      <c r="F23" s="4">
        <v>59.89</v>
      </c>
      <c r="G23" s="4">
        <v>70.5</v>
      </c>
      <c r="H23" s="4">
        <v>79.2</v>
      </c>
    </row>
    <row r="24" spans="1:8" x14ac:dyDescent="0.25">
      <c r="A24" s="2" t="s">
        <v>23</v>
      </c>
      <c r="B24" s="4" t="s">
        <v>2</v>
      </c>
      <c r="C24" s="4">
        <v>26.92</v>
      </c>
      <c r="D24" s="4">
        <v>29.49</v>
      </c>
      <c r="E24" s="4">
        <v>42.05</v>
      </c>
      <c r="F24" s="4">
        <v>49.1</v>
      </c>
      <c r="G24" s="4">
        <v>62.56</v>
      </c>
      <c r="H24" s="4">
        <v>74.430000000000007</v>
      </c>
    </row>
    <row r="25" spans="1:8" x14ac:dyDescent="0.25">
      <c r="A25" s="2" t="s">
        <v>24</v>
      </c>
      <c r="B25" s="4">
        <v>31.14</v>
      </c>
      <c r="C25" s="4">
        <v>44.01</v>
      </c>
      <c r="D25" s="4">
        <v>53.8</v>
      </c>
      <c r="E25" s="4">
        <v>59.88</v>
      </c>
      <c r="F25" s="4">
        <v>82.26</v>
      </c>
      <c r="G25" s="4">
        <v>88.8</v>
      </c>
      <c r="H25" s="4">
        <v>91.33</v>
      </c>
    </row>
    <row r="26" spans="1:8" x14ac:dyDescent="0.25">
      <c r="A26" s="2" t="s">
        <v>25</v>
      </c>
      <c r="B26" s="4">
        <v>10.52</v>
      </c>
      <c r="C26" s="4">
        <v>21.95</v>
      </c>
      <c r="D26" s="4">
        <v>33.78</v>
      </c>
      <c r="E26" s="4">
        <v>50.28</v>
      </c>
      <c r="F26" s="4">
        <v>61.65</v>
      </c>
      <c r="G26" s="4">
        <v>66.59</v>
      </c>
      <c r="H26" s="4">
        <v>79.599999999999994</v>
      </c>
    </row>
    <row r="27" spans="1:8" x14ac:dyDescent="0.25">
      <c r="A27" s="2" t="s">
        <v>26</v>
      </c>
      <c r="B27" s="4">
        <v>15.8</v>
      </c>
      <c r="C27" s="4">
        <v>21.66</v>
      </c>
      <c r="D27" s="4">
        <v>26.18</v>
      </c>
      <c r="E27" s="4">
        <v>33.619999999999997</v>
      </c>
      <c r="F27" s="4">
        <v>49.09</v>
      </c>
      <c r="G27" s="4">
        <v>63.08</v>
      </c>
      <c r="H27" s="4">
        <v>72.89</v>
      </c>
    </row>
    <row r="28" spans="1:8" x14ac:dyDescent="0.25">
      <c r="A28" s="2" t="s">
        <v>27</v>
      </c>
      <c r="B28" s="4" t="s">
        <v>2</v>
      </c>
      <c r="C28" s="4">
        <v>43.65</v>
      </c>
      <c r="D28" s="4">
        <v>53.38</v>
      </c>
      <c r="E28" s="4">
        <v>65.14</v>
      </c>
      <c r="F28" s="4">
        <v>74.739999999999995</v>
      </c>
      <c r="G28" s="4">
        <v>81.239999999999995</v>
      </c>
      <c r="H28" s="4">
        <v>85.85</v>
      </c>
    </row>
    <row r="29" spans="1:8" x14ac:dyDescent="0.25">
      <c r="A29" s="2" t="s">
        <v>28</v>
      </c>
      <c r="B29" s="4" t="s">
        <v>2</v>
      </c>
      <c r="C29" s="4" t="s">
        <v>2</v>
      </c>
      <c r="D29" s="4">
        <v>34.119999999999997</v>
      </c>
      <c r="E29" s="4">
        <v>43.37</v>
      </c>
      <c r="F29" s="4">
        <v>58.51</v>
      </c>
      <c r="G29" s="4">
        <v>69.650000000000006</v>
      </c>
      <c r="H29" s="4">
        <v>75.84</v>
      </c>
    </row>
    <row r="30" spans="1:8" x14ac:dyDescent="0.25">
      <c r="A30" s="2" t="s">
        <v>29</v>
      </c>
      <c r="B30" s="4">
        <v>8.5</v>
      </c>
      <c r="C30" s="4">
        <v>18.12</v>
      </c>
      <c r="D30" s="4">
        <v>22.57</v>
      </c>
      <c r="E30" s="4">
        <v>30.11</v>
      </c>
      <c r="F30" s="4">
        <v>38.549999999999997</v>
      </c>
      <c r="G30" s="4">
        <v>60.41</v>
      </c>
      <c r="H30" s="4">
        <v>66.11</v>
      </c>
    </row>
    <row r="31" spans="1:8" x14ac:dyDescent="0.25">
      <c r="A31" s="2" t="s">
        <v>30</v>
      </c>
      <c r="B31" s="4" t="s">
        <v>2</v>
      </c>
      <c r="C31" s="4" t="s">
        <v>2</v>
      </c>
      <c r="D31" s="4">
        <v>17.739999999999998</v>
      </c>
      <c r="E31" s="4">
        <v>34.049999999999997</v>
      </c>
      <c r="F31" s="4">
        <v>56.94</v>
      </c>
      <c r="G31" s="4">
        <v>68.81</v>
      </c>
      <c r="H31" s="4">
        <v>81.42</v>
      </c>
    </row>
    <row r="32" spans="1:8" x14ac:dyDescent="0.25">
      <c r="A32" s="2" t="s">
        <v>31</v>
      </c>
      <c r="B32" s="4" t="s">
        <v>2</v>
      </c>
      <c r="C32" s="4">
        <v>36.39</v>
      </c>
      <c r="D32" s="4">
        <v>45.4</v>
      </c>
      <c r="E32" s="4">
        <v>54.39</v>
      </c>
      <c r="F32" s="4">
        <v>62.66</v>
      </c>
      <c r="G32" s="4">
        <v>73.45</v>
      </c>
      <c r="H32" s="4">
        <v>80.09</v>
      </c>
    </row>
    <row r="33" spans="1:8" x14ac:dyDescent="0.25">
      <c r="A33" s="2" t="s">
        <v>32</v>
      </c>
      <c r="B33" s="4" t="s">
        <v>2</v>
      </c>
      <c r="C33" s="4">
        <v>20.239999999999998</v>
      </c>
      <c r="D33" s="4">
        <v>30.98</v>
      </c>
      <c r="E33" s="4">
        <v>50.1</v>
      </c>
      <c r="F33" s="4">
        <v>60.44</v>
      </c>
      <c r="G33" s="4">
        <v>73.19</v>
      </c>
      <c r="H33" s="4">
        <v>87.22</v>
      </c>
    </row>
    <row r="34" spans="1:8" x14ac:dyDescent="0.25">
      <c r="A34" s="2" t="s">
        <v>33</v>
      </c>
      <c r="B34" s="4">
        <v>12.02</v>
      </c>
      <c r="C34" s="4">
        <v>20.87</v>
      </c>
      <c r="D34" s="4">
        <v>23.99</v>
      </c>
      <c r="E34" s="4">
        <v>32.65</v>
      </c>
      <c r="F34" s="4">
        <v>40.71</v>
      </c>
      <c r="G34" s="4">
        <v>56.27</v>
      </c>
      <c r="H34" s="4">
        <v>67.680000000000007</v>
      </c>
    </row>
    <row r="35" spans="1:8" x14ac:dyDescent="0.25">
      <c r="A35" s="2" t="s">
        <v>34</v>
      </c>
      <c r="B35" s="4">
        <v>18.93</v>
      </c>
      <c r="C35" s="4">
        <v>18.05</v>
      </c>
      <c r="D35" s="4">
        <v>33.26</v>
      </c>
      <c r="E35" s="4">
        <v>46.06</v>
      </c>
      <c r="F35" s="4">
        <v>57.75</v>
      </c>
      <c r="G35" s="4">
        <v>71.62</v>
      </c>
      <c r="H35" s="4">
        <v>78.819999999999993</v>
      </c>
    </row>
    <row r="36" spans="1:8" x14ac:dyDescent="0.25">
      <c r="A36" s="2" t="s">
        <v>35</v>
      </c>
      <c r="B36" s="4">
        <v>24.61</v>
      </c>
      <c r="C36" s="4">
        <v>34.46</v>
      </c>
      <c r="D36" s="4">
        <v>38.86</v>
      </c>
      <c r="E36" s="4">
        <v>48.65</v>
      </c>
      <c r="F36" s="4">
        <v>57.7</v>
      </c>
      <c r="G36" s="4">
        <v>68.64</v>
      </c>
      <c r="H36" s="4">
        <v>76.260000000000005</v>
      </c>
    </row>
    <row r="37" spans="1:8" x14ac:dyDescent="0.25">
      <c r="A37" s="2" t="s">
        <v>36</v>
      </c>
      <c r="B37" s="4">
        <v>18.329999999999998</v>
      </c>
      <c r="C37" s="4">
        <v>28.3</v>
      </c>
      <c r="D37" s="4">
        <v>34.450000000000003</v>
      </c>
      <c r="E37" s="4">
        <v>43.57</v>
      </c>
      <c r="F37" s="4">
        <v>52.21</v>
      </c>
      <c r="G37" s="4">
        <v>64.84</v>
      </c>
      <c r="H37" s="4">
        <v>72.989999999999995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7E03-2175-44C1-8DA9-922EDD67169F}">
  <dimension ref="A1:M37"/>
  <sheetViews>
    <sheetView workbookViewId="0">
      <selection activeCell="B2" sqref="B2"/>
    </sheetView>
  </sheetViews>
  <sheetFormatPr defaultRowHeight="14.4" x14ac:dyDescent="0.3"/>
  <cols>
    <col min="1" max="1" width="33.88671875" style="1" customWidth="1"/>
    <col min="2" max="2" width="11.44140625" style="1" customWidth="1"/>
    <col min="12" max="13" width="11.44140625" style="1" customWidth="1"/>
  </cols>
  <sheetData>
    <row r="1" spans="1:13" ht="26.4" x14ac:dyDescent="0.3">
      <c r="A1" s="3" t="s">
        <v>38</v>
      </c>
      <c r="B1" s="3">
        <v>2001</v>
      </c>
      <c r="C1" s="3">
        <v>2002</v>
      </c>
      <c r="D1" s="3">
        <v>2003</v>
      </c>
      <c r="E1" s="3">
        <v>2004</v>
      </c>
      <c r="F1" s="3">
        <v>2005</v>
      </c>
      <c r="G1" s="3">
        <v>2006</v>
      </c>
      <c r="H1" s="3">
        <v>2007</v>
      </c>
      <c r="I1" s="3">
        <v>2008</v>
      </c>
      <c r="J1" s="3">
        <v>2009</v>
      </c>
      <c r="K1" s="3">
        <v>2010</v>
      </c>
      <c r="L1" s="3">
        <v>2011</v>
      </c>
      <c r="M1" s="3" t="s">
        <v>37</v>
      </c>
    </row>
    <row r="2" spans="1:13" x14ac:dyDescent="0.3">
      <c r="A2" s="2" t="s">
        <v>0</v>
      </c>
      <c r="B2" s="4">
        <v>81.3</v>
      </c>
      <c r="C2" s="5">
        <f t="shared" ref="C2:C37" si="0">(L2-B2)/10 + B2</f>
        <v>81.832999999999998</v>
      </c>
      <c r="D2" s="5">
        <f t="shared" ref="D2:D37" si="1">(L2-B2)/10 +C2</f>
        <v>82.366</v>
      </c>
      <c r="E2">
        <f t="shared" ref="E2:E37" si="2">(L2-B2)/10 +D2</f>
        <v>82.899000000000001</v>
      </c>
      <c r="F2">
        <f t="shared" ref="F2:F37" si="3">(L2-B2)/10 +E2</f>
        <v>83.432000000000002</v>
      </c>
      <c r="G2">
        <f t="shared" ref="G2:G37" si="4">(L2-B2)/10 +F2</f>
        <v>83.965000000000003</v>
      </c>
      <c r="H2">
        <f t="shared" ref="H2:H37" si="5">(L2-B2)/10 +G2</f>
        <v>84.498000000000005</v>
      </c>
      <c r="I2">
        <f t="shared" ref="I2:I37" si="6">(L2-B2)/10 +H2</f>
        <v>85.031000000000006</v>
      </c>
      <c r="J2">
        <f t="shared" ref="J2:J37" si="7">(L2-B2)/10 +I2</f>
        <v>85.564000000000007</v>
      </c>
      <c r="K2">
        <f t="shared" ref="K2:K37" si="8">(L2-B2)/10 +J2</f>
        <v>86.097000000000008</v>
      </c>
      <c r="L2" s="4">
        <v>86.63</v>
      </c>
      <c r="M2" s="4">
        <f>(L2-B2)/10</f>
        <v>0.53299999999999981</v>
      </c>
    </row>
    <row r="3" spans="1:13" x14ac:dyDescent="0.3">
      <c r="A3" s="2" t="s">
        <v>1</v>
      </c>
      <c r="B3" s="4">
        <v>60.47</v>
      </c>
      <c r="C3" s="5">
        <f t="shared" si="0"/>
        <v>61.125</v>
      </c>
      <c r="D3" s="5">
        <f t="shared" si="1"/>
        <v>61.78</v>
      </c>
      <c r="E3">
        <f t="shared" si="2"/>
        <v>62.435000000000002</v>
      </c>
      <c r="F3">
        <f t="shared" si="3"/>
        <v>63.09</v>
      </c>
      <c r="G3">
        <f t="shared" si="4"/>
        <v>63.745000000000005</v>
      </c>
      <c r="H3">
        <f t="shared" si="5"/>
        <v>64.400000000000006</v>
      </c>
      <c r="I3">
        <f t="shared" si="6"/>
        <v>65.055000000000007</v>
      </c>
      <c r="J3">
        <f t="shared" si="7"/>
        <v>65.710000000000008</v>
      </c>
      <c r="K3">
        <f t="shared" si="8"/>
        <v>66.365000000000009</v>
      </c>
      <c r="L3" s="4">
        <v>67.02</v>
      </c>
      <c r="M3" s="4">
        <f>(L3-B3)/10</f>
        <v>0.65499999999999969</v>
      </c>
    </row>
    <row r="4" spans="1:13" x14ac:dyDescent="0.3">
      <c r="A4" s="2" t="s">
        <v>3</v>
      </c>
      <c r="B4" s="4">
        <v>54.34</v>
      </c>
      <c r="C4" s="5">
        <f t="shared" si="0"/>
        <v>55.445</v>
      </c>
      <c r="D4" s="5">
        <f t="shared" si="1"/>
        <v>56.55</v>
      </c>
      <c r="E4">
        <f t="shared" si="2"/>
        <v>57.654999999999994</v>
      </c>
      <c r="F4">
        <f t="shared" si="3"/>
        <v>58.759999999999991</v>
      </c>
      <c r="G4">
        <f t="shared" si="4"/>
        <v>59.864999999999988</v>
      </c>
      <c r="H4">
        <f t="shared" si="5"/>
        <v>60.969999999999985</v>
      </c>
      <c r="I4">
        <f t="shared" si="6"/>
        <v>62.074999999999982</v>
      </c>
      <c r="J4">
        <f t="shared" si="7"/>
        <v>63.179999999999978</v>
      </c>
      <c r="K4">
        <f t="shared" si="8"/>
        <v>64.284999999999982</v>
      </c>
      <c r="L4" s="4">
        <v>65.39</v>
      </c>
      <c r="M4" s="4">
        <f t="shared" ref="M4:M37" si="9">(L4-B4)/10</f>
        <v>1.1049999999999998</v>
      </c>
    </row>
    <row r="5" spans="1:13" x14ac:dyDescent="0.3">
      <c r="A5" s="2" t="s">
        <v>4</v>
      </c>
      <c r="B5" s="4">
        <v>63.25</v>
      </c>
      <c r="C5" s="5">
        <f t="shared" si="0"/>
        <v>64.144000000000005</v>
      </c>
      <c r="D5" s="5">
        <f t="shared" si="1"/>
        <v>65.038000000000011</v>
      </c>
      <c r="E5">
        <f t="shared" si="2"/>
        <v>65.932000000000016</v>
      </c>
      <c r="F5">
        <f t="shared" si="3"/>
        <v>66.826000000000022</v>
      </c>
      <c r="G5">
        <f t="shared" si="4"/>
        <v>67.720000000000027</v>
      </c>
      <c r="H5">
        <f t="shared" si="5"/>
        <v>68.614000000000033</v>
      </c>
      <c r="I5">
        <f t="shared" si="6"/>
        <v>69.508000000000038</v>
      </c>
      <c r="J5">
        <f t="shared" si="7"/>
        <v>70.402000000000044</v>
      </c>
      <c r="K5">
        <f t="shared" si="8"/>
        <v>71.296000000000049</v>
      </c>
      <c r="L5" s="4">
        <v>72.19</v>
      </c>
      <c r="M5" s="4">
        <f t="shared" si="9"/>
        <v>0.89399999999999979</v>
      </c>
    </row>
    <row r="6" spans="1:13" x14ac:dyDescent="0.3">
      <c r="A6" s="2" t="s">
        <v>5</v>
      </c>
      <c r="B6" s="4">
        <v>47</v>
      </c>
      <c r="C6" s="5">
        <f t="shared" si="0"/>
        <v>48.48</v>
      </c>
      <c r="D6" s="5">
        <f t="shared" si="1"/>
        <v>49.959999999999994</v>
      </c>
      <c r="E6">
        <f t="shared" si="2"/>
        <v>51.439999999999991</v>
      </c>
      <c r="F6">
        <f t="shared" si="3"/>
        <v>52.919999999999987</v>
      </c>
      <c r="G6">
        <f t="shared" si="4"/>
        <v>54.399999999999984</v>
      </c>
      <c r="H6">
        <f t="shared" si="5"/>
        <v>55.879999999999981</v>
      </c>
      <c r="I6">
        <f t="shared" si="6"/>
        <v>57.359999999999978</v>
      </c>
      <c r="J6">
        <f t="shared" si="7"/>
        <v>58.839999999999975</v>
      </c>
      <c r="K6">
        <f t="shared" si="8"/>
        <v>60.319999999999972</v>
      </c>
      <c r="L6" s="4">
        <v>61.8</v>
      </c>
      <c r="M6" s="4">
        <f t="shared" si="9"/>
        <v>1.4799999999999998</v>
      </c>
    </row>
    <row r="7" spans="1:13" x14ac:dyDescent="0.3">
      <c r="A7" s="2" t="s">
        <v>6</v>
      </c>
      <c r="B7" s="4">
        <v>81.94</v>
      </c>
      <c r="C7" s="5">
        <f t="shared" si="0"/>
        <v>82.350999999999999</v>
      </c>
      <c r="D7" s="5">
        <f t="shared" si="1"/>
        <v>82.762</v>
      </c>
      <c r="E7">
        <f t="shared" si="2"/>
        <v>83.173000000000002</v>
      </c>
      <c r="F7">
        <f t="shared" si="3"/>
        <v>83.584000000000003</v>
      </c>
      <c r="G7">
        <f t="shared" si="4"/>
        <v>83.995000000000005</v>
      </c>
      <c r="H7">
        <f t="shared" si="5"/>
        <v>84.406000000000006</v>
      </c>
      <c r="I7">
        <f t="shared" si="6"/>
        <v>84.817000000000007</v>
      </c>
      <c r="J7">
        <f t="shared" si="7"/>
        <v>85.228000000000009</v>
      </c>
      <c r="K7">
        <f t="shared" si="8"/>
        <v>85.63900000000001</v>
      </c>
      <c r="L7" s="4">
        <v>86.05</v>
      </c>
      <c r="M7" s="4">
        <f t="shared" si="9"/>
        <v>0.41099999999999992</v>
      </c>
    </row>
    <row r="8" spans="1:13" x14ac:dyDescent="0.3">
      <c r="A8" s="2" t="s">
        <v>7</v>
      </c>
      <c r="B8" s="4">
        <v>64.66</v>
      </c>
      <c r="C8" s="5">
        <f t="shared" si="0"/>
        <v>65.221999999999994</v>
      </c>
      <c r="D8" s="5">
        <f t="shared" si="1"/>
        <v>65.783999999999992</v>
      </c>
      <c r="E8">
        <f t="shared" si="2"/>
        <v>66.345999999999989</v>
      </c>
      <c r="F8">
        <f t="shared" si="3"/>
        <v>66.907999999999987</v>
      </c>
      <c r="G8">
        <f t="shared" si="4"/>
        <v>67.469999999999985</v>
      </c>
      <c r="H8">
        <f t="shared" si="5"/>
        <v>68.031999999999982</v>
      </c>
      <c r="I8">
        <f t="shared" si="6"/>
        <v>68.59399999999998</v>
      </c>
      <c r="J8">
        <f t="shared" si="7"/>
        <v>69.155999999999977</v>
      </c>
      <c r="K8">
        <f t="shared" si="8"/>
        <v>69.717999999999975</v>
      </c>
      <c r="L8" s="4">
        <v>70.28</v>
      </c>
      <c r="M8" s="4">
        <f t="shared" si="9"/>
        <v>0.5620000000000005</v>
      </c>
    </row>
    <row r="9" spans="1:13" x14ac:dyDescent="0.3">
      <c r="A9" s="2" t="s">
        <v>8</v>
      </c>
      <c r="B9" s="4">
        <v>57.63</v>
      </c>
      <c r="C9" s="5">
        <f t="shared" si="0"/>
        <v>59.491</v>
      </c>
      <c r="D9" s="5">
        <f t="shared" si="1"/>
        <v>61.351999999999997</v>
      </c>
      <c r="E9">
        <f t="shared" si="2"/>
        <v>63.212999999999994</v>
      </c>
      <c r="F9">
        <f t="shared" si="3"/>
        <v>65.073999999999998</v>
      </c>
      <c r="G9">
        <f t="shared" si="4"/>
        <v>66.935000000000002</v>
      </c>
      <c r="H9">
        <f t="shared" si="5"/>
        <v>68.796000000000006</v>
      </c>
      <c r="I9">
        <f t="shared" si="6"/>
        <v>70.657000000000011</v>
      </c>
      <c r="J9">
        <f t="shared" si="7"/>
        <v>72.518000000000015</v>
      </c>
      <c r="K9">
        <f t="shared" si="8"/>
        <v>74.379000000000019</v>
      </c>
      <c r="L9" s="4">
        <v>76.239999999999995</v>
      </c>
      <c r="M9" s="4">
        <f t="shared" si="9"/>
        <v>1.8609999999999993</v>
      </c>
    </row>
    <row r="10" spans="1:13" x14ac:dyDescent="0.3">
      <c r="A10" s="2" t="s">
        <v>9</v>
      </c>
      <c r="B10" s="4">
        <v>78.180000000000007</v>
      </c>
      <c r="C10" s="5">
        <f t="shared" si="0"/>
        <v>79.072000000000003</v>
      </c>
      <c r="D10" s="5">
        <f t="shared" si="1"/>
        <v>79.963999999999999</v>
      </c>
      <c r="E10">
        <f t="shared" si="2"/>
        <v>80.855999999999995</v>
      </c>
      <c r="F10">
        <f t="shared" si="3"/>
        <v>81.74799999999999</v>
      </c>
      <c r="G10">
        <f t="shared" si="4"/>
        <v>82.639999999999986</v>
      </c>
      <c r="H10">
        <f t="shared" si="5"/>
        <v>83.531999999999982</v>
      </c>
      <c r="I10">
        <f t="shared" si="6"/>
        <v>84.423999999999978</v>
      </c>
      <c r="J10">
        <f t="shared" si="7"/>
        <v>85.315999999999974</v>
      </c>
      <c r="K10">
        <f t="shared" si="8"/>
        <v>86.20799999999997</v>
      </c>
      <c r="L10" s="4">
        <v>87.1</v>
      </c>
      <c r="M10" s="4">
        <f t="shared" si="9"/>
        <v>0.89199999999999879</v>
      </c>
    </row>
    <row r="11" spans="1:13" x14ac:dyDescent="0.3">
      <c r="A11" s="2" t="s">
        <v>10</v>
      </c>
      <c r="B11" s="4">
        <v>81.67</v>
      </c>
      <c r="C11" s="5">
        <f t="shared" si="0"/>
        <v>82.123999999999995</v>
      </c>
      <c r="D11" s="5">
        <f t="shared" si="1"/>
        <v>82.577999999999989</v>
      </c>
      <c r="E11">
        <f t="shared" si="2"/>
        <v>83.031999999999982</v>
      </c>
      <c r="F11">
        <f t="shared" si="3"/>
        <v>83.485999999999976</v>
      </c>
      <c r="G11">
        <f t="shared" si="4"/>
        <v>83.939999999999969</v>
      </c>
      <c r="H11">
        <f t="shared" si="5"/>
        <v>84.393999999999963</v>
      </c>
      <c r="I11">
        <f t="shared" si="6"/>
        <v>84.847999999999956</v>
      </c>
      <c r="J11">
        <f t="shared" si="7"/>
        <v>85.30199999999995</v>
      </c>
      <c r="K11">
        <f t="shared" si="8"/>
        <v>85.755999999999943</v>
      </c>
      <c r="L11" s="4">
        <v>86.21</v>
      </c>
      <c r="M11" s="4">
        <f t="shared" si="9"/>
        <v>0.45399999999999918</v>
      </c>
    </row>
    <row r="12" spans="1:13" x14ac:dyDescent="0.3">
      <c r="A12" s="2" t="s">
        <v>11</v>
      </c>
      <c r="B12" s="4">
        <v>82.01</v>
      </c>
      <c r="C12" s="5">
        <f t="shared" si="0"/>
        <v>82.679000000000002</v>
      </c>
      <c r="D12" s="5">
        <f t="shared" si="1"/>
        <v>83.347999999999999</v>
      </c>
      <c r="E12">
        <f t="shared" si="2"/>
        <v>84.016999999999996</v>
      </c>
      <c r="F12">
        <f t="shared" si="3"/>
        <v>84.685999999999993</v>
      </c>
      <c r="G12">
        <f t="shared" si="4"/>
        <v>85.35499999999999</v>
      </c>
      <c r="H12">
        <f t="shared" si="5"/>
        <v>86.023999999999987</v>
      </c>
      <c r="I12">
        <f t="shared" si="6"/>
        <v>86.692999999999984</v>
      </c>
      <c r="J12">
        <f t="shared" si="7"/>
        <v>87.361999999999981</v>
      </c>
      <c r="K12">
        <f t="shared" si="8"/>
        <v>88.030999999999977</v>
      </c>
      <c r="L12" s="4">
        <v>88.7</v>
      </c>
      <c r="M12" s="4">
        <f t="shared" si="9"/>
        <v>0.66899999999999982</v>
      </c>
    </row>
    <row r="13" spans="1:13" x14ac:dyDescent="0.3">
      <c r="A13" s="2" t="s">
        <v>12</v>
      </c>
      <c r="B13" s="4">
        <v>69.14</v>
      </c>
      <c r="C13" s="5">
        <f t="shared" si="0"/>
        <v>70.028999999999996</v>
      </c>
      <c r="D13" s="5">
        <f t="shared" si="1"/>
        <v>70.917999999999992</v>
      </c>
      <c r="E13">
        <f t="shared" si="2"/>
        <v>71.806999999999988</v>
      </c>
      <c r="F13">
        <f t="shared" si="3"/>
        <v>72.695999999999984</v>
      </c>
      <c r="G13">
        <f t="shared" si="4"/>
        <v>73.58499999999998</v>
      </c>
      <c r="H13">
        <f t="shared" si="5"/>
        <v>74.473999999999975</v>
      </c>
      <c r="I13">
        <f t="shared" si="6"/>
        <v>75.362999999999971</v>
      </c>
      <c r="J13">
        <f t="shared" si="7"/>
        <v>76.251999999999967</v>
      </c>
      <c r="K13">
        <f t="shared" si="8"/>
        <v>77.140999999999963</v>
      </c>
      <c r="L13" s="4">
        <v>78.03</v>
      </c>
      <c r="M13" s="4">
        <f t="shared" si="9"/>
        <v>0.88900000000000001</v>
      </c>
    </row>
    <row r="14" spans="1:13" x14ac:dyDescent="0.3">
      <c r="A14" s="2" t="s">
        <v>13</v>
      </c>
      <c r="B14" s="4">
        <v>67.91</v>
      </c>
      <c r="C14" s="5">
        <f t="shared" si="0"/>
        <v>68.673999999999992</v>
      </c>
      <c r="D14" s="5">
        <f t="shared" si="1"/>
        <v>69.437999999999988</v>
      </c>
      <c r="E14">
        <f t="shared" si="2"/>
        <v>70.201999999999984</v>
      </c>
      <c r="F14">
        <f t="shared" si="3"/>
        <v>70.96599999999998</v>
      </c>
      <c r="G14">
        <f t="shared" si="4"/>
        <v>71.729999999999976</v>
      </c>
      <c r="H14">
        <f t="shared" si="5"/>
        <v>72.493999999999971</v>
      </c>
      <c r="I14">
        <f t="shared" si="6"/>
        <v>73.257999999999967</v>
      </c>
      <c r="J14">
        <f t="shared" si="7"/>
        <v>74.021999999999963</v>
      </c>
      <c r="K14">
        <f t="shared" si="8"/>
        <v>74.785999999999959</v>
      </c>
      <c r="L14" s="4">
        <v>75.55</v>
      </c>
      <c r="M14" s="4">
        <f t="shared" si="9"/>
        <v>0.76400000000000001</v>
      </c>
    </row>
    <row r="15" spans="1:13" x14ac:dyDescent="0.3">
      <c r="A15" s="2" t="s">
        <v>14</v>
      </c>
      <c r="B15" s="4">
        <v>76.48</v>
      </c>
      <c r="C15" s="5">
        <f t="shared" si="0"/>
        <v>77.112000000000009</v>
      </c>
      <c r="D15" s="5">
        <f t="shared" si="1"/>
        <v>77.744000000000014</v>
      </c>
      <c r="E15">
        <f t="shared" si="2"/>
        <v>78.376000000000019</v>
      </c>
      <c r="F15">
        <f t="shared" si="3"/>
        <v>79.008000000000024</v>
      </c>
      <c r="G15">
        <f t="shared" si="4"/>
        <v>79.640000000000029</v>
      </c>
      <c r="H15">
        <f t="shared" si="5"/>
        <v>80.272000000000034</v>
      </c>
      <c r="I15">
        <f t="shared" si="6"/>
        <v>80.904000000000039</v>
      </c>
      <c r="J15">
        <f t="shared" si="7"/>
        <v>81.536000000000044</v>
      </c>
      <c r="K15">
        <f t="shared" si="8"/>
        <v>82.168000000000049</v>
      </c>
      <c r="L15" s="4">
        <v>82.8</v>
      </c>
      <c r="M15" s="4">
        <f t="shared" si="9"/>
        <v>0.63199999999999934</v>
      </c>
    </row>
    <row r="16" spans="1:13" x14ac:dyDescent="0.3">
      <c r="A16" s="2" t="s">
        <v>15</v>
      </c>
      <c r="B16" s="4">
        <v>55.52</v>
      </c>
      <c r="C16" s="5">
        <f t="shared" si="0"/>
        <v>56.684000000000005</v>
      </c>
      <c r="D16" s="5">
        <f t="shared" si="1"/>
        <v>57.848000000000006</v>
      </c>
      <c r="E16">
        <f t="shared" si="2"/>
        <v>59.012000000000008</v>
      </c>
      <c r="F16">
        <f t="shared" si="3"/>
        <v>60.176000000000009</v>
      </c>
      <c r="G16">
        <f t="shared" si="4"/>
        <v>61.340000000000011</v>
      </c>
      <c r="H16">
        <f t="shared" si="5"/>
        <v>62.504000000000012</v>
      </c>
      <c r="I16">
        <f t="shared" si="6"/>
        <v>63.668000000000013</v>
      </c>
      <c r="J16">
        <f t="shared" si="7"/>
        <v>64.832000000000008</v>
      </c>
      <c r="K16">
        <f t="shared" si="8"/>
        <v>65.996000000000009</v>
      </c>
      <c r="L16" s="4">
        <v>67.16</v>
      </c>
      <c r="M16" s="4">
        <f t="shared" si="9"/>
        <v>1.1639999999999993</v>
      </c>
    </row>
    <row r="17" spans="1:13" x14ac:dyDescent="0.3">
      <c r="A17" s="2" t="s">
        <v>16</v>
      </c>
      <c r="B17" s="4">
        <v>53.56</v>
      </c>
      <c r="C17" s="5">
        <f t="shared" si="0"/>
        <v>54.844999999999999</v>
      </c>
      <c r="D17" s="5">
        <f t="shared" si="1"/>
        <v>56.129999999999995</v>
      </c>
      <c r="E17">
        <f t="shared" si="2"/>
        <v>57.414999999999992</v>
      </c>
      <c r="F17">
        <f t="shared" si="3"/>
        <v>58.699999999999989</v>
      </c>
      <c r="G17">
        <f t="shared" si="4"/>
        <v>59.984999999999985</v>
      </c>
      <c r="H17">
        <f t="shared" si="5"/>
        <v>61.269999999999982</v>
      </c>
      <c r="I17">
        <f t="shared" si="6"/>
        <v>62.554999999999978</v>
      </c>
      <c r="J17">
        <f t="shared" si="7"/>
        <v>63.839999999999975</v>
      </c>
      <c r="K17">
        <f t="shared" si="8"/>
        <v>65.124999999999972</v>
      </c>
      <c r="L17" s="4">
        <v>66.41</v>
      </c>
      <c r="M17" s="4">
        <f t="shared" si="9"/>
        <v>1.2849999999999995</v>
      </c>
    </row>
    <row r="18" spans="1:13" x14ac:dyDescent="0.3">
      <c r="A18" s="2" t="s">
        <v>17</v>
      </c>
      <c r="B18" s="4">
        <v>66.599999999999994</v>
      </c>
      <c r="C18" s="5">
        <f t="shared" si="0"/>
        <v>67.47699999999999</v>
      </c>
      <c r="D18" s="5">
        <f t="shared" si="1"/>
        <v>68.353999999999985</v>
      </c>
      <c r="E18">
        <f t="shared" si="2"/>
        <v>69.23099999999998</v>
      </c>
      <c r="F18">
        <f t="shared" si="3"/>
        <v>70.107999999999976</v>
      </c>
      <c r="G18">
        <f t="shared" si="4"/>
        <v>70.984999999999971</v>
      </c>
      <c r="H18">
        <f t="shared" si="5"/>
        <v>71.861999999999966</v>
      </c>
      <c r="I18">
        <f t="shared" si="6"/>
        <v>72.738999999999962</v>
      </c>
      <c r="J18">
        <f t="shared" si="7"/>
        <v>73.615999999999957</v>
      </c>
      <c r="K18">
        <f t="shared" si="8"/>
        <v>74.492999999999952</v>
      </c>
      <c r="L18" s="4">
        <v>75.37</v>
      </c>
      <c r="M18" s="4">
        <f t="shared" si="9"/>
        <v>0.877000000000001</v>
      </c>
    </row>
    <row r="19" spans="1:13" x14ac:dyDescent="0.3">
      <c r="A19" s="2" t="s">
        <v>18</v>
      </c>
      <c r="B19" s="4">
        <v>90.86</v>
      </c>
      <c r="C19" s="5">
        <f t="shared" si="0"/>
        <v>91.174000000000007</v>
      </c>
      <c r="D19" s="5">
        <f t="shared" si="1"/>
        <v>91.488</v>
      </c>
      <c r="E19">
        <f t="shared" si="2"/>
        <v>91.801999999999992</v>
      </c>
      <c r="F19">
        <f t="shared" si="3"/>
        <v>92.115999999999985</v>
      </c>
      <c r="G19">
        <f t="shared" si="4"/>
        <v>92.429999999999978</v>
      </c>
      <c r="H19">
        <f t="shared" si="5"/>
        <v>92.743999999999971</v>
      </c>
      <c r="I19">
        <f t="shared" si="6"/>
        <v>93.057999999999964</v>
      </c>
      <c r="J19">
        <f t="shared" si="7"/>
        <v>93.371999999999957</v>
      </c>
      <c r="K19">
        <f t="shared" si="8"/>
        <v>93.68599999999995</v>
      </c>
      <c r="L19" s="4">
        <v>94</v>
      </c>
      <c r="M19" s="4">
        <f t="shared" si="9"/>
        <v>0.31400000000000006</v>
      </c>
    </row>
    <row r="20" spans="1:13" x14ac:dyDescent="0.3">
      <c r="A20" s="2" t="s">
        <v>19</v>
      </c>
      <c r="B20" s="4">
        <v>86.66</v>
      </c>
      <c r="C20" s="5">
        <f t="shared" si="0"/>
        <v>87.179000000000002</v>
      </c>
      <c r="D20" s="5">
        <f t="shared" si="1"/>
        <v>87.698000000000008</v>
      </c>
      <c r="E20">
        <f t="shared" si="2"/>
        <v>88.217000000000013</v>
      </c>
      <c r="F20">
        <f t="shared" si="3"/>
        <v>88.736000000000018</v>
      </c>
      <c r="G20">
        <f t="shared" si="4"/>
        <v>89.255000000000024</v>
      </c>
      <c r="H20">
        <f t="shared" si="5"/>
        <v>89.774000000000029</v>
      </c>
      <c r="I20">
        <f t="shared" si="6"/>
        <v>90.293000000000035</v>
      </c>
      <c r="J20">
        <f t="shared" si="7"/>
        <v>90.81200000000004</v>
      </c>
      <c r="K20">
        <f t="shared" si="8"/>
        <v>91.331000000000046</v>
      </c>
      <c r="L20" s="4">
        <v>91.85</v>
      </c>
      <c r="M20" s="4">
        <f t="shared" si="9"/>
        <v>0.51899999999999979</v>
      </c>
    </row>
    <row r="21" spans="1:13" x14ac:dyDescent="0.3">
      <c r="A21" s="2" t="s">
        <v>20</v>
      </c>
      <c r="B21" s="4">
        <v>63.74</v>
      </c>
      <c r="C21" s="5">
        <f t="shared" si="0"/>
        <v>64.298000000000002</v>
      </c>
      <c r="D21" s="5">
        <f t="shared" si="1"/>
        <v>64.855999999999995</v>
      </c>
      <c r="E21">
        <f t="shared" si="2"/>
        <v>65.413999999999987</v>
      </c>
      <c r="F21">
        <f t="shared" si="3"/>
        <v>65.97199999999998</v>
      </c>
      <c r="G21">
        <f t="shared" si="4"/>
        <v>66.529999999999973</v>
      </c>
      <c r="H21">
        <f t="shared" si="5"/>
        <v>67.087999999999965</v>
      </c>
      <c r="I21">
        <f t="shared" si="6"/>
        <v>67.645999999999958</v>
      </c>
      <c r="J21">
        <f t="shared" si="7"/>
        <v>68.203999999999951</v>
      </c>
      <c r="K21">
        <f t="shared" si="8"/>
        <v>68.761999999999944</v>
      </c>
      <c r="L21" s="4">
        <v>69.319999999999993</v>
      </c>
      <c r="M21" s="4">
        <f t="shared" si="9"/>
        <v>0.55799999999999916</v>
      </c>
    </row>
    <row r="22" spans="1:13" x14ac:dyDescent="0.3">
      <c r="A22" s="2" t="s">
        <v>21</v>
      </c>
      <c r="B22" s="4">
        <v>76.88</v>
      </c>
      <c r="C22" s="5">
        <f t="shared" si="0"/>
        <v>77.426000000000002</v>
      </c>
      <c r="D22" s="5">
        <f t="shared" si="1"/>
        <v>77.972000000000008</v>
      </c>
      <c r="E22">
        <f t="shared" si="2"/>
        <v>78.518000000000015</v>
      </c>
      <c r="F22">
        <f t="shared" si="3"/>
        <v>79.064000000000021</v>
      </c>
      <c r="G22">
        <f t="shared" si="4"/>
        <v>79.610000000000028</v>
      </c>
      <c r="H22">
        <f t="shared" si="5"/>
        <v>80.156000000000034</v>
      </c>
      <c r="I22">
        <f t="shared" si="6"/>
        <v>80.702000000000041</v>
      </c>
      <c r="J22">
        <f t="shared" si="7"/>
        <v>81.248000000000047</v>
      </c>
      <c r="K22">
        <f t="shared" si="8"/>
        <v>81.794000000000054</v>
      </c>
      <c r="L22" s="4">
        <v>82.34</v>
      </c>
      <c r="M22" s="4">
        <f t="shared" si="9"/>
        <v>0.54600000000000082</v>
      </c>
    </row>
    <row r="23" spans="1:13" x14ac:dyDescent="0.3">
      <c r="A23" s="2" t="s">
        <v>22</v>
      </c>
      <c r="B23" s="4">
        <v>70.5</v>
      </c>
      <c r="C23" s="5">
        <f t="shared" si="0"/>
        <v>71.37</v>
      </c>
      <c r="D23" s="5">
        <f t="shared" si="1"/>
        <v>72.240000000000009</v>
      </c>
      <c r="E23">
        <f t="shared" si="2"/>
        <v>73.110000000000014</v>
      </c>
      <c r="F23">
        <f t="shared" si="3"/>
        <v>73.980000000000018</v>
      </c>
      <c r="G23">
        <f t="shared" si="4"/>
        <v>74.850000000000023</v>
      </c>
      <c r="H23">
        <f t="shared" si="5"/>
        <v>75.720000000000027</v>
      </c>
      <c r="I23">
        <f t="shared" si="6"/>
        <v>76.590000000000032</v>
      </c>
      <c r="J23">
        <f t="shared" si="7"/>
        <v>77.460000000000036</v>
      </c>
      <c r="K23">
        <f t="shared" si="8"/>
        <v>78.330000000000041</v>
      </c>
      <c r="L23" s="4">
        <v>79.2</v>
      </c>
      <c r="M23" s="4">
        <f t="shared" si="9"/>
        <v>0.87000000000000033</v>
      </c>
    </row>
    <row r="24" spans="1:13" x14ac:dyDescent="0.3">
      <c r="A24" s="2" t="s">
        <v>23</v>
      </c>
      <c r="B24" s="4">
        <v>62.56</v>
      </c>
      <c r="C24" s="5">
        <f t="shared" si="0"/>
        <v>63.747</v>
      </c>
      <c r="D24" s="5">
        <f t="shared" si="1"/>
        <v>64.933999999999997</v>
      </c>
      <c r="E24">
        <f t="shared" si="2"/>
        <v>66.120999999999995</v>
      </c>
      <c r="F24">
        <f t="shared" si="3"/>
        <v>67.307999999999993</v>
      </c>
      <c r="G24">
        <f t="shared" si="4"/>
        <v>68.49499999999999</v>
      </c>
      <c r="H24">
        <f t="shared" si="5"/>
        <v>69.681999999999988</v>
      </c>
      <c r="I24">
        <f t="shared" si="6"/>
        <v>70.868999999999986</v>
      </c>
      <c r="J24">
        <f t="shared" si="7"/>
        <v>72.055999999999983</v>
      </c>
      <c r="K24">
        <f t="shared" si="8"/>
        <v>73.242999999999981</v>
      </c>
      <c r="L24" s="4">
        <v>74.430000000000007</v>
      </c>
      <c r="M24" s="4">
        <f t="shared" si="9"/>
        <v>1.1870000000000005</v>
      </c>
    </row>
    <row r="25" spans="1:13" x14ac:dyDescent="0.3">
      <c r="A25" s="2" t="s">
        <v>24</v>
      </c>
      <c r="B25" s="4">
        <v>88.8</v>
      </c>
      <c r="C25" s="5">
        <f t="shared" si="0"/>
        <v>89.052999999999997</v>
      </c>
      <c r="D25" s="5">
        <f t="shared" si="1"/>
        <v>89.305999999999997</v>
      </c>
      <c r="E25">
        <f t="shared" si="2"/>
        <v>89.558999999999997</v>
      </c>
      <c r="F25">
        <f t="shared" si="3"/>
        <v>89.811999999999998</v>
      </c>
      <c r="G25">
        <f t="shared" si="4"/>
        <v>90.064999999999998</v>
      </c>
      <c r="H25">
        <f t="shared" si="5"/>
        <v>90.317999999999998</v>
      </c>
      <c r="I25">
        <f t="shared" si="6"/>
        <v>90.570999999999998</v>
      </c>
      <c r="J25">
        <f t="shared" si="7"/>
        <v>90.823999999999998</v>
      </c>
      <c r="K25">
        <f t="shared" si="8"/>
        <v>91.076999999999998</v>
      </c>
      <c r="L25" s="4">
        <v>91.33</v>
      </c>
      <c r="M25" s="4">
        <f t="shared" si="9"/>
        <v>0.25300000000000011</v>
      </c>
    </row>
    <row r="26" spans="1:13" x14ac:dyDescent="0.3">
      <c r="A26" s="2" t="s">
        <v>25</v>
      </c>
      <c r="B26" s="4">
        <v>66.59</v>
      </c>
      <c r="C26" s="5">
        <f t="shared" si="0"/>
        <v>67.891000000000005</v>
      </c>
      <c r="D26" s="5">
        <f t="shared" si="1"/>
        <v>69.192000000000007</v>
      </c>
      <c r="E26">
        <f t="shared" si="2"/>
        <v>70.493000000000009</v>
      </c>
      <c r="F26">
        <f t="shared" si="3"/>
        <v>71.794000000000011</v>
      </c>
      <c r="G26">
        <f t="shared" si="4"/>
        <v>73.095000000000013</v>
      </c>
      <c r="H26">
        <f t="shared" si="5"/>
        <v>74.396000000000015</v>
      </c>
      <c r="I26">
        <f t="shared" si="6"/>
        <v>75.697000000000017</v>
      </c>
      <c r="J26">
        <f t="shared" si="7"/>
        <v>76.998000000000019</v>
      </c>
      <c r="K26">
        <f t="shared" si="8"/>
        <v>78.299000000000021</v>
      </c>
      <c r="L26" s="4">
        <v>79.599999999999994</v>
      </c>
      <c r="M26" s="4">
        <f t="shared" si="9"/>
        <v>1.300999999999999</v>
      </c>
    </row>
    <row r="27" spans="1:13" x14ac:dyDescent="0.3">
      <c r="A27" s="2" t="s">
        <v>26</v>
      </c>
      <c r="B27" s="4">
        <v>63.08</v>
      </c>
      <c r="C27" s="5">
        <f t="shared" si="0"/>
        <v>64.060999999999993</v>
      </c>
      <c r="D27" s="5">
        <f t="shared" si="1"/>
        <v>65.041999999999987</v>
      </c>
      <c r="E27">
        <f t="shared" si="2"/>
        <v>66.022999999999982</v>
      </c>
      <c r="F27">
        <f t="shared" si="3"/>
        <v>67.003999999999976</v>
      </c>
      <c r="G27">
        <f t="shared" si="4"/>
        <v>67.984999999999971</v>
      </c>
      <c r="H27">
        <f t="shared" si="5"/>
        <v>68.965999999999966</v>
      </c>
      <c r="I27">
        <f t="shared" si="6"/>
        <v>69.94699999999996</v>
      </c>
      <c r="J27">
        <f t="shared" si="7"/>
        <v>70.927999999999955</v>
      </c>
      <c r="K27">
        <f t="shared" si="8"/>
        <v>71.908999999999949</v>
      </c>
      <c r="L27" s="4">
        <v>72.89</v>
      </c>
      <c r="M27" s="4">
        <f t="shared" si="9"/>
        <v>0.98100000000000021</v>
      </c>
    </row>
    <row r="28" spans="1:13" x14ac:dyDescent="0.3">
      <c r="A28" s="2" t="s">
        <v>27</v>
      </c>
      <c r="B28" s="4">
        <v>81.239999999999995</v>
      </c>
      <c r="C28" s="5">
        <f t="shared" si="0"/>
        <v>81.700999999999993</v>
      </c>
      <c r="D28" s="5">
        <f t="shared" si="1"/>
        <v>82.161999999999992</v>
      </c>
      <c r="E28">
        <f t="shared" si="2"/>
        <v>82.62299999999999</v>
      </c>
      <c r="F28">
        <f t="shared" si="3"/>
        <v>83.083999999999989</v>
      </c>
      <c r="G28">
        <f t="shared" si="4"/>
        <v>83.544999999999987</v>
      </c>
      <c r="H28">
        <f t="shared" si="5"/>
        <v>84.005999999999986</v>
      </c>
      <c r="I28">
        <f t="shared" si="6"/>
        <v>84.466999999999985</v>
      </c>
      <c r="J28">
        <f t="shared" si="7"/>
        <v>84.927999999999983</v>
      </c>
      <c r="K28">
        <f t="shared" si="8"/>
        <v>85.388999999999982</v>
      </c>
      <c r="L28" s="4">
        <v>85.85</v>
      </c>
      <c r="M28" s="4">
        <f t="shared" si="9"/>
        <v>0.46099999999999997</v>
      </c>
    </row>
    <row r="29" spans="1:13" x14ac:dyDescent="0.3">
      <c r="A29" s="2" t="s">
        <v>28</v>
      </c>
      <c r="B29" s="4">
        <v>69.650000000000006</v>
      </c>
      <c r="C29" s="5">
        <f t="shared" si="0"/>
        <v>70.269000000000005</v>
      </c>
      <c r="D29" s="5">
        <f t="shared" si="1"/>
        <v>70.888000000000005</v>
      </c>
      <c r="E29">
        <f t="shared" si="2"/>
        <v>71.507000000000005</v>
      </c>
      <c r="F29">
        <f t="shared" si="3"/>
        <v>72.126000000000005</v>
      </c>
      <c r="G29">
        <f t="shared" si="4"/>
        <v>72.745000000000005</v>
      </c>
      <c r="H29">
        <f t="shared" si="5"/>
        <v>73.364000000000004</v>
      </c>
      <c r="I29">
        <f t="shared" si="6"/>
        <v>73.983000000000004</v>
      </c>
      <c r="J29">
        <f t="shared" si="7"/>
        <v>74.602000000000004</v>
      </c>
      <c r="K29">
        <f t="shared" si="8"/>
        <v>75.221000000000004</v>
      </c>
      <c r="L29" s="4">
        <v>75.84</v>
      </c>
      <c r="M29" s="4">
        <f t="shared" si="9"/>
        <v>0.61899999999999977</v>
      </c>
    </row>
    <row r="30" spans="1:13" x14ac:dyDescent="0.3">
      <c r="A30" s="2" t="s">
        <v>29</v>
      </c>
      <c r="B30" s="4">
        <v>60.41</v>
      </c>
      <c r="C30" s="5">
        <f t="shared" si="0"/>
        <v>60.98</v>
      </c>
      <c r="D30" s="5">
        <f t="shared" si="1"/>
        <v>61.55</v>
      </c>
      <c r="E30">
        <f t="shared" si="2"/>
        <v>62.12</v>
      </c>
      <c r="F30">
        <f t="shared" si="3"/>
        <v>62.69</v>
      </c>
      <c r="G30">
        <f t="shared" si="4"/>
        <v>63.26</v>
      </c>
      <c r="H30">
        <f t="shared" si="5"/>
        <v>63.83</v>
      </c>
      <c r="I30">
        <f t="shared" si="6"/>
        <v>64.400000000000006</v>
      </c>
      <c r="J30">
        <f t="shared" si="7"/>
        <v>64.97</v>
      </c>
      <c r="K30">
        <f t="shared" si="8"/>
        <v>65.539999999999992</v>
      </c>
      <c r="L30" s="4">
        <v>66.11</v>
      </c>
      <c r="M30" s="4">
        <f t="shared" si="9"/>
        <v>0.57000000000000028</v>
      </c>
    </row>
    <row r="31" spans="1:13" x14ac:dyDescent="0.3">
      <c r="A31" s="2" t="s">
        <v>30</v>
      </c>
      <c r="B31" s="4">
        <v>68.81</v>
      </c>
      <c r="C31" s="5">
        <f t="shared" si="0"/>
        <v>70.070999999999998</v>
      </c>
      <c r="D31" s="5">
        <f t="shared" si="1"/>
        <v>71.331999999999994</v>
      </c>
      <c r="E31">
        <f t="shared" si="2"/>
        <v>72.592999999999989</v>
      </c>
      <c r="F31">
        <f t="shared" si="3"/>
        <v>73.853999999999985</v>
      </c>
      <c r="G31">
        <f t="shared" si="4"/>
        <v>75.114999999999981</v>
      </c>
      <c r="H31">
        <f t="shared" si="5"/>
        <v>76.375999999999976</v>
      </c>
      <c r="I31">
        <f t="shared" si="6"/>
        <v>77.636999999999972</v>
      </c>
      <c r="J31">
        <f t="shared" si="7"/>
        <v>78.897999999999968</v>
      </c>
      <c r="K31">
        <f t="shared" si="8"/>
        <v>80.158999999999963</v>
      </c>
      <c r="L31" s="4">
        <v>81.42</v>
      </c>
      <c r="M31" s="4">
        <f t="shared" si="9"/>
        <v>1.2609999999999999</v>
      </c>
    </row>
    <row r="32" spans="1:13" x14ac:dyDescent="0.3">
      <c r="A32" s="2" t="s">
        <v>31</v>
      </c>
      <c r="B32" s="4">
        <v>73.45</v>
      </c>
      <c r="C32" s="5">
        <f t="shared" si="0"/>
        <v>74.114000000000004</v>
      </c>
      <c r="D32" s="5">
        <f t="shared" si="1"/>
        <v>74.778000000000006</v>
      </c>
      <c r="E32">
        <f t="shared" si="2"/>
        <v>75.442000000000007</v>
      </c>
      <c r="F32">
        <f t="shared" si="3"/>
        <v>76.106000000000009</v>
      </c>
      <c r="G32">
        <f t="shared" si="4"/>
        <v>76.77000000000001</v>
      </c>
      <c r="H32">
        <f t="shared" si="5"/>
        <v>77.434000000000012</v>
      </c>
      <c r="I32">
        <f t="shared" si="6"/>
        <v>78.098000000000013</v>
      </c>
      <c r="J32">
        <f t="shared" si="7"/>
        <v>78.762000000000015</v>
      </c>
      <c r="K32">
        <f t="shared" si="8"/>
        <v>79.426000000000016</v>
      </c>
      <c r="L32" s="4">
        <v>80.09</v>
      </c>
      <c r="M32" s="4">
        <f t="shared" si="9"/>
        <v>0.66400000000000003</v>
      </c>
    </row>
    <row r="33" spans="1:13" x14ac:dyDescent="0.3">
      <c r="A33" s="2" t="s">
        <v>32</v>
      </c>
      <c r="B33" s="4">
        <v>73.19</v>
      </c>
      <c r="C33" s="5">
        <f t="shared" si="0"/>
        <v>74.593000000000004</v>
      </c>
      <c r="D33" s="5">
        <f t="shared" si="1"/>
        <v>75.996000000000009</v>
      </c>
      <c r="E33">
        <f t="shared" si="2"/>
        <v>77.399000000000015</v>
      </c>
      <c r="F33">
        <f t="shared" si="3"/>
        <v>78.802000000000021</v>
      </c>
      <c r="G33">
        <f t="shared" si="4"/>
        <v>80.205000000000027</v>
      </c>
      <c r="H33">
        <f t="shared" si="5"/>
        <v>81.608000000000033</v>
      </c>
      <c r="I33">
        <f t="shared" si="6"/>
        <v>83.011000000000038</v>
      </c>
      <c r="J33">
        <f t="shared" si="7"/>
        <v>84.414000000000044</v>
      </c>
      <c r="K33">
        <f t="shared" si="8"/>
        <v>85.81700000000005</v>
      </c>
      <c r="L33" s="4">
        <v>87.22</v>
      </c>
      <c r="M33" s="4">
        <f t="shared" si="9"/>
        <v>1.403</v>
      </c>
    </row>
    <row r="34" spans="1:13" x14ac:dyDescent="0.3">
      <c r="A34" s="2" t="s">
        <v>33</v>
      </c>
      <c r="B34" s="4">
        <v>56.27</v>
      </c>
      <c r="C34" s="5">
        <f t="shared" si="0"/>
        <v>57.411000000000001</v>
      </c>
      <c r="D34" s="5">
        <f t="shared" si="1"/>
        <v>58.552</v>
      </c>
      <c r="E34">
        <f t="shared" si="2"/>
        <v>59.692999999999998</v>
      </c>
      <c r="F34">
        <f t="shared" si="3"/>
        <v>60.833999999999996</v>
      </c>
      <c r="G34">
        <f t="shared" si="4"/>
        <v>61.974999999999994</v>
      </c>
      <c r="H34">
        <f t="shared" si="5"/>
        <v>63.115999999999993</v>
      </c>
      <c r="I34">
        <f t="shared" si="6"/>
        <v>64.256999999999991</v>
      </c>
      <c r="J34">
        <f t="shared" si="7"/>
        <v>65.397999999999996</v>
      </c>
      <c r="K34">
        <f t="shared" si="8"/>
        <v>66.539000000000001</v>
      </c>
      <c r="L34" s="4">
        <v>67.680000000000007</v>
      </c>
      <c r="M34" s="4">
        <f t="shared" si="9"/>
        <v>1.1410000000000005</v>
      </c>
    </row>
    <row r="35" spans="1:13" x14ac:dyDescent="0.3">
      <c r="A35" s="2" t="s">
        <v>34</v>
      </c>
      <c r="B35" s="4">
        <v>71.62</v>
      </c>
      <c r="C35" s="5">
        <f t="shared" si="0"/>
        <v>72.34</v>
      </c>
      <c r="D35" s="5">
        <f t="shared" si="1"/>
        <v>73.06</v>
      </c>
      <c r="E35">
        <f t="shared" si="2"/>
        <v>73.78</v>
      </c>
      <c r="F35">
        <f t="shared" si="3"/>
        <v>74.5</v>
      </c>
      <c r="G35">
        <f t="shared" si="4"/>
        <v>75.22</v>
      </c>
      <c r="H35">
        <f t="shared" si="5"/>
        <v>75.94</v>
      </c>
      <c r="I35">
        <f t="shared" si="6"/>
        <v>76.66</v>
      </c>
      <c r="J35">
        <f t="shared" si="7"/>
        <v>77.38</v>
      </c>
      <c r="K35">
        <f t="shared" si="8"/>
        <v>78.099999999999994</v>
      </c>
      <c r="L35" s="4">
        <v>78.819999999999993</v>
      </c>
      <c r="M35" s="4">
        <f t="shared" si="9"/>
        <v>0.71999999999999886</v>
      </c>
    </row>
    <row r="36" spans="1:13" x14ac:dyDescent="0.3">
      <c r="A36" s="2" t="s">
        <v>35</v>
      </c>
      <c r="B36" s="4">
        <v>68.64</v>
      </c>
      <c r="C36" s="5">
        <f t="shared" si="0"/>
        <v>69.402000000000001</v>
      </c>
      <c r="D36" s="5">
        <f t="shared" si="1"/>
        <v>70.164000000000001</v>
      </c>
      <c r="E36">
        <f t="shared" si="2"/>
        <v>70.926000000000002</v>
      </c>
      <c r="F36">
        <f t="shared" si="3"/>
        <v>71.688000000000002</v>
      </c>
      <c r="G36">
        <f t="shared" si="4"/>
        <v>72.45</v>
      </c>
      <c r="H36">
        <f t="shared" si="5"/>
        <v>73.212000000000003</v>
      </c>
      <c r="I36">
        <f t="shared" si="6"/>
        <v>73.974000000000004</v>
      </c>
      <c r="J36">
        <f t="shared" si="7"/>
        <v>74.736000000000004</v>
      </c>
      <c r="K36">
        <f t="shared" si="8"/>
        <v>75.498000000000005</v>
      </c>
      <c r="L36" s="4">
        <v>76.260000000000005</v>
      </c>
      <c r="M36" s="4">
        <f t="shared" si="9"/>
        <v>0.76200000000000045</v>
      </c>
    </row>
    <row r="37" spans="1:13" x14ac:dyDescent="0.3">
      <c r="A37" s="2" t="s">
        <v>36</v>
      </c>
      <c r="B37" s="4">
        <v>64.84</v>
      </c>
      <c r="C37" s="5">
        <f t="shared" si="0"/>
        <v>65.655000000000001</v>
      </c>
      <c r="D37" s="5">
        <f t="shared" si="1"/>
        <v>66.47</v>
      </c>
      <c r="E37">
        <f t="shared" si="2"/>
        <v>67.284999999999997</v>
      </c>
      <c r="F37">
        <f t="shared" si="3"/>
        <v>68.099999999999994</v>
      </c>
      <c r="G37">
        <f t="shared" si="4"/>
        <v>68.914999999999992</v>
      </c>
      <c r="H37">
        <f t="shared" si="5"/>
        <v>69.72999999999999</v>
      </c>
      <c r="I37">
        <f t="shared" si="6"/>
        <v>70.544999999999987</v>
      </c>
      <c r="J37">
        <f t="shared" si="7"/>
        <v>71.359999999999985</v>
      </c>
      <c r="K37">
        <f t="shared" si="8"/>
        <v>72.174999999999983</v>
      </c>
      <c r="L37" s="4">
        <v>72.989999999999995</v>
      </c>
      <c r="M37" s="4">
        <f t="shared" si="9"/>
        <v>0.81499999999999917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2B7F-EA81-4629-ACE2-225D77BDCA19}">
  <dimension ref="A1:D526"/>
  <sheetViews>
    <sheetView tabSelected="1" workbookViewId="0">
      <selection activeCell="C181" sqref="C181"/>
    </sheetView>
  </sheetViews>
  <sheetFormatPr defaultRowHeight="14.4" x14ac:dyDescent="0.3"/>
  <cols>
    <col min="1" max="4" width="33.88671875" style="1" customWidth="1"/>
  </cols>
  <sheetData>
    <row r="1" spans="1:4" x14ac:dyDescent="0.3">
      <c r="A1" s="3" t="s">
        <v>38</v>
      </c>
      <c r="B1" s="3" t="s">
        <v>39</v>
      </c>
      <c r="C1" s="3" t="s">
        <v>41</v>
      </c>
      <c r="D1" s="3" t="s">
        <v>40</v>
      </c>
    </row>
    <row r="2" spans="1:4" x14ac:dyDescent="0.3">
      <c r="A2" s="2" t="s">
        <v>0</v>
      </c>
      <c r="B2" s="2">
        <v>2001</v>
      </c>
      <c r="C2" s="2">
        <f>[1]T_1!$H$5</f>
        <v>356</v>
      </c>
      <c r="D2" s="2">
        <f>'Assumed Literacy Rate'!B2</f>
        <v>81.3</v>
      </c>
    </row>
    <row r="3" spans="1:4" x14ac:dyDescent="0.3">
      <c r="A3" s="2" t="s">
        <v>1</v>
      </c>
      <c r="B3" s="2">
        <v>2001</v>
      </c>
      <c r="C3" s="2"/>
      <c r="D3" s="2">
        <f>'Assumed Literacy Rate'!B3</f>
        <v>60.47</v>
      </c>
    </row>
    <row r="4" spans="1:4" x14ac:dyDescent="0.3">
      <c r="A4" s="2" t="s">
        <v>3</v>
      </c>
      <c r="B4" s="2">
        <v>2001</v>
      </c>
      <c r="C4" s="2"/>
      <c r="D4" s="2">
        <f>'Assumed Literacy Rate'!B4</f>
        <v>54.34</v>
      </c>
    </row>
    <row r="5" spans="1:4" x14ac:dyDescent="0.3">
      <c r="A5" s="2" t="s">
        <v>4</v>
      </c>
      <c r="B5" s="2">
        <v>2001</v>
      </c>
      <c r="C5" s="2"/>
      <c r="D5" s="2">
        <f>'Assumed Literacy Rate'!B5</f>
        <v>63.25</v>
      </c>
    </row>
    <row r="6" spans="1:4" x14ac:dyDescent="0.3">
      <c r="A6" s="2" t="s">
        <v>5</v>
      </c>
      <c r="B6" s="2">
        <v>2001</v>
      </c>
      <c r="C6" s="2"/>
      <c r="D6" s="2">
        <f>'Assumed Literacy Rate'!B6</f>
        <v>47</v>
      </c>
    </row>
    <row r="7" spans="1:4" x14ac:dyDescent="0.3">
      <c r="A7" s="2" t="s">
        <v>6</v>
      </c>
      <c r="B7" s="2">
        <v>2001</v>
      </c>
      <c r="C7" s="2"/>
      <c r="D7" s="2">
        <f>'Assumed Literacy Rate'!B7</f>
        <v>81.94</v>
      </c>
    </row>
    <row r="8" spans="1:4" x14ac:dyDescent="0.3">
      <c r="A8" s="2" t="s">
        <v>7</v>
      </c>
      <c r="B8" s="2">
        <v>2001</v>
      </c>
      <c r="C8" s="2"/>
      <c r="D8" s="2">
        <f>'Assumed Literacy Rate'!B8</f>
        <v>64.66</v>
      </c>
    </row>
    <row r="9" spans="1:4" x14ac:dyDescent="0.3">
      <c r="A9" s="2" t="s">
        <v>8</v>
      </c>
      <c r="B9" s="2">
        <v>2001</v>
      </c>
      <c r="C9" s="2"/>
      <c r="D9" s="2">
        <f>'Assumed Literacy Rate'!B9</f>
        <v>57.63</v>
      </c>
    </row>
    <row r="10" spans="1:4" x14ac:dyDescent="0.3">
      <c r="A10" s="2" t="s">
        <v>9</v>
      </c>
      <c r="B10" s="2">
        <v>2001</v>
      </c>
      <c r="C10" s="2"/>
      <c r="D10" s="2">
        <f>'Assumed Literacy Rate'!B10</f>
        <v>78.180000000000007</v>
      </c>
    </row>
    <row r="11" spans="1:4" x14ac:dyDescent="0.3">
      <c r="A11" s="2" t="s">
        <v>10</v>
      </c>
      <c r="B11" s="2">
        <v>2001</v>
      </c>
      <c r="C11" s="2"/>
      <c r="D11" s="2">
        <f>'Assumed Literacy Rate'!B11</f>
        <v>81.67</v>
      </c>
    </row>
    <row r="12" spans="1:4" x14ac:dyDescent="0.3">
      <c r="A12" s="2" t="s">
        <v>11</v>
      </c>
      <c r="B12" s="2">
        <v>2001</v>
      </c>
      <c r="C12" s="2"/>
      <c r="D12" s="2">
        <f>'Assumed Literacy Rate'!B12</f>
        <v>82.01</v>
      </c>
    </row>
    <row r="13" spans="1:4" x14ac:dyDescent="0.3">
      <c r="A13" s="2" t="s">
        <v>12</v>
      </c>
      <c r="B13" s="2">
        <v>2001</v>
      </c>
      <c r="C13" s="2"/>
      <c r="D13" s="2">
        <f>'Assumed Literacy Rate'!B13</f>
        <v>69.14</v>
      </c>
    </row>
    <row r="14" spans="1:4" x14ac:dyDescent="0.3">
      <c r="A14" s="2" t="s">
        <v>13</v>
      </c>
      <c r="B14" s="2">
        <v>2001</v>
      </c>
      <c r="C14" s="2"/>
      <c r="D14" s="2">
        <f>'Assumed Literacy Rate'!B14</f>
        <v>67.91</v>
      </c>
    </row>
    <row r="15" spans="1:4" x14ac:dyDescent="0.3">
      <c r="A15" s="2" t="s">
        <v>14</v>
      </c>
      <c r="B15" s="2">
        <v>2001</v>
      </c>
      <c r="C15" s="2"/>
      <c r="D15" s="2">
        <f>'Assumed Literacy Rate'!B15</f>
        <v>76.48</v>
      </c>
    </row>
    <row r="16" spans="1:4" x14ac:dyDescent="0.3">
      <c r="A16" s="2" t="s">
        <v>15</v>
      </c>
      <c r="B16" s="2">
        <v>2001</v>
      </c>
      <c r="C16" s="2"/>
      <c r="D16" s="2">
        <f>'Assumed Literacy Rate'!B16</f>
        <v>55.52</v>
      </c>
    </row>
    <row r="17" spans="1:4" x14ac:dyDescent="0.3">
      <c r="A17" s="2" t="s">
        <v>16</v>
      </c>
      <c r="B17" s="2">
        <v>2001</v>
      </c>
      <c r="C17" s="2"/>
      <c r="D17" s="2">
        <f>'Assumed Literacy Rate'!B17</f>
        <v>53.56</v>
      </c>
    </row>
    <row r="18" spans="1:4" x14ac:dyDescent="0.3">
      <c r="A18" s="2" t="s">
        <v>17</v>
      </c>
      <c r="B18" s="2">
        <v>2001</v>
      </c>
      <c r="C18" s="2"/>
      <c r="D18" s="2">
        <f>'Assumed Literacy Rate'!B18</f>
        <v>66.599999999999994</v>
      </c>
    </row>
    <row r="19" spans="1:4" x14ac:dyDescent="0.3">
      <c r="A19" s="2" t="s">
        <v>18</v>
      </c>
      <c r="B19" s="2">
        <v>2001</v>
      </c>
      <c r="C19" s="2"/>
      <c r="D19" s="2">
        <f>'Assumed Literacy Rate'!B19</f>
        <v>90.86</v>
      </c>
    </row>
    <row r="20" spans="1:4" x14ac:dyDescent="0.3">
      <c r="A20" s="2" t="s">
        <v>19</v>
      </c>
      <c r="B20" s="2">
        <v>2001</v>
      </c>
      <c r="C20" s="2"/>
      <c r="D20" s="2">
        <f>'Assumed Literacy Rate'!B20</f>
        <v>86.66</v>
      </c>
    </row>
    <row r="21" spans="1:4" x14ac:dyDescent="0.3">
      <c r="A21" s="2" t="s">
        <v>20</v>
      </c>
      <c r="B21" s="2">
        <v>2001</v>
      </c>
      <c r="C21" s="2"/>
      <c r="D21" s="2">
        <f>'Assumed Literacy Rate'!B21</f>
        <v>63.74</v>
      </c>
    </row>
    <row r="22" spans="1:4" x14ac:dyDescent="0.3">
      <c r="A22" s="2" t="s">
        <v>21</v>
      </c>
      <c r="B22" s="2">
        <v>2001</v>
      </c>
      <c r="C22" s="2"/>
      <c r="D22" s="2">
        <f>'Assumed Literacy Rate'!B22</f>
        <v>76.88</v>
      </c>
    </row>
    <row r="23" spans="1:4" x14ac:dyDescent="0.3">
      <c r="A23" s="2" t="s">
        <v>22</v>
      </c>
      <c r="B23" s="2">
        <v>2001</v>
      </c>
      <c r="C23" s="2"/>
      <c r="D23" s="2">
        <f>'Assumed Literacy Rate'!B23</f>
        <v>70.5</v>
      </c>
    </row>
    <row r="24" spans="1:4" x14ac:dyDescent="0.3">
      <c r="A24" s="2" t="s">
        <v>23</v>
      </c>
      <c r="B24" s="2">
        <v>2001</v>
      </c>
      <c r="C24" s="2"/>
      <c r="D24" s="2">
        <f>'Assumed Literacy Rate'!B24</f>
        <v>62.56</v>
      </c>
    </row>
    <row r="25" spans="1:4" x14ac:dyDescent="0.3">
      <c r="A25" s="2" t="s">
        <v>24</v>
      </c>
      <c r="B25" s="2">
        <v>2001</v>
      </c>
      <c r="C25" s="2"/>
      <c r="D25" s="2">
        <f>'Assumed Literacy Rate'!B25</f>
        <v>88.8</v>
      </c>
    </row>
    <row r="26" spans="1:4" x14ac:dyDescent="0.3">
      <c r="A26" s="2" t="s">
        <v>25</v>
      </c>
      <c r="B26" s="2">
        <v>2001</v>
      </c>
      <c r="C26" s="2"/>
      <c r="D26" s="2">
        <f>'Assumed Literacy Rate'!B26</f>
        <v>66.59</v>
      </c>
    </row>
    <row r="27" spans="1:4" x14ac:dyDescent="0.3">
      <c r="A27" s="2" t="s">
        <v>26</v>
      </c>
      <c r="B27" s="2">
        <v>2001</v>
      </c>
      <c r="C27" s="2"/>
      <c r="D27" s="2">
        <f>'Assumed Literacy Rate'!B27</f>
        <v>63.08</v>
      </c>
    </row>
    <row r="28" spans="1:4" x14ac:dyDescent="0.3">
      <c r="A28" s="2" t="s">
        <v>27</v>
      </c>
      <c r="B28" s="2">
        <v>2001</v>
      </c>
      <c r="C28" s="2"/>
      <c r="D28" s="2">
        <f>'Assumed Literacy Rate'!B28</f>
        <v>81.239999999999995</v>
      </c>
    </row>
    <row r="29" spans="1:4" x14ac:dyDescent="0.3">
      <c r="A29" s="2" t="s">
        <v>28</v>
      </c>
      <c r="B29" s="2">
        <v>2001</v>
      </c>
      <c r="C29" s="2"/>
      <c r="D29" s="2">
        <f>'Assumed Literacy Rate'!B29</f>
        <v>69.650000000000006</v>
      </c>
    </row>
    <row r="30" spans="1:4" x14ac:dyDescent="0.3">
      <c r="A30" s="2" t="s">
        <v>29</v>
      </c>
      <c r="B30" s="2">
        <v>2001</v>
      </c>
      <c r="C30" s="2"/>
      <c r="D30" s="2">
        <f>'Assumed Literacy Rate'!B30</f>
        <v>60.41</v>
      </c>
    </row>
    <row r="31" spans="1:4" x14ac:dyDescent="0.3">
      <c r="A31" s="2" t="s">
        <v>30</v>
      </c>
      <c r="B31" s="2">
        <v>2001</v>
      </c>
      <c r="C31" s="2"/>
      <c r="D31" s="2">
        <f>'Assumed Literacy Rate'!B31</f>
        <v>68.81</v>
      </c>
    </row>
    <row r="32" spans="1:4" x14ac:dyDescent="0.3">
      <c r="A32" s="2" t="s">
        <v>31</v>
      </c>
      <c r="B32" s="2">
        <v>2001</v>
      </c>
      <c r="C32" s="2"/>
      <c r="D32" s="2">
        <f>'Assumed Literacy Rate'!B32</f>
        <v>73.45</v>
      </c>
    </row>
    <row r="33" spans="1:4" x14ac:dyDescent="0.3">
      <c r="A33" s="2" t="s">
        <v>32</v>
      </c>
      <c r="B33" s="2">
        <v>2001</v>
      </c>
      <c r="C33" s="2"/>
      <c r="D33" s="2">
        <f>'Assumed Literacy Rate'!B33</f>
        <v>73.19</v>
      </c>
    </row>
    <row r="34" spans="1:4" x14ac:dyDescent="0.3">
      <c r="A34" s="2" t="s">
        <v>33</v>
      </c>
      <c r="B34" s="2">
        <v>2001</v>
      </c>
      <c r="C34" s="2"/>
      <c r="D34" s="2">
        <f>'Assumed Literacy Rate'!B34</f>
        <v>56.27</v>
      </c>
    </row>
    <row r="35" spans="1:4" x14ac:dyDescent="0.3">
      <c r="A35" s="2" t="s">
        <v>34</v>
      </c>
      <c r="B35" s="2">
        <v>2001</v>
      </c>
      <c r="C35" s="2"/>
      <c r="D35" s="2">
        <f>'Assumed Literacy Rate'!B35</f>
        <v>71.62</v>
      </c>
    </row>
    <row r="36" spans="1:4" x14ac:dyDescent="0.3">
      <c r="A36" s="2" t="s">
        <v>35</v>
      </c>
      <c r="B36" s="2">
        <v>2001</v>
      </c>
      <c r="C36" s="2"/>
      <c r="D36" s="2">
        <f>'Assumed Literacy Rate'!B36</f>
        <v>68.64</v>
      </c>
    </row>
    <row r="37" spans="1:4" x14ac:dyDescent="0.3">
      <c r="A37" s="2" t="s">
        <v>0</v>
      </c>
      <c r="B37" s="2">
        <v>2002</v>
      </c>
      <c r="C37" s="6">
        <v>359</v>
      </c>
      <c r="D37" s="2">
        <f>'Assumed Literacy Rate'!C2</f>
        <v>81.832999999999998</v>
      </c>
    </row>
    <row r="38" spans="1:4" x14ac:dyDescent="0.3">
      <c r="A38" s="2" t="s">
        <v>1</v>
      </c>
      <c r="B38" s="2">
        <v>2002</v>
      </c>
      <c r="C38" s="6"/>
      <c r="D38" s="2">
        <f>'Assumed Literacy Rate'!C3</f>
        <v>61.125</v>
      </c>
    </row>
    <row r="39" spans="1:4" x14ac:dyDescent="0.3">
      <c r="A39" s="2" t="s">
        <v>3</v>
      </c>
      <c r="B39" s="2">
        <v>2002</v>
      </c>
      <c r="C39" s="6"/>
      <c r="D39" s="2">
        <f>'Assumed Literacy Rate'!C4</f>
        <v>55.445</v>
      </c>
    </row>
    <row r="40" spans="1:4" x14ac:dyDescent="0.3">
      <c r="A40" s="2" t="s">
        <v>4</v>
      </c>
      <c r="B40" s="2">
        <v>2002</v>
      </c>
      <c r="C40" s="6"/>
      <c r="D40" s="2">
        <f>'Assumed Literacy Rate'!C5</f>
        <v>64.144000000000005</v>
      </c>
    </row>
    <row r="41" spans="1:4" x14ac:dyDescent="0.3">
      <c r="A41" s="2" t="s">
        <v>5</v>
      </c>
      <c r="B41" s="2">
        <v>2002</v>
      </c>
      <c r="C41" s="6"/>
      <c r="D41" s="2">
        <f>'Assumed Literacy Rate'!C6</f>
        <v>48.48</v>
      </c>
    </row>
    <row r="42" spans="1:4" x14ac:dyDescent="0.3">
      <c r="A42" s="2" t="s">
        <v>6</v>
      </c>
      <c r="B42" s="2">
        <v>2002</v>
      </c>
      <c r="C42" s="6"/>
      <c r="D42" s="2">
        <f>'Assumed Literacy Rate'!C7</f>
        <v>82.350999999999999</v>
      </c>
    </row>
    <row r="43" spans="1:4" x14ac:dyDescent="0.3">
      <c r="A43" s="2" t="s">
        <v>7</v>
      </c>
      <c r="B43" s="2">
        <v>2002</v>
      </c>
      <c r="C43" s="6"/>
      <c r="D43" s="2">
        <f>'Assumed Literacy Rate'!C8</f>
        <v>65.221999999999994</v>
      </c>
    </row>
    <row r="44" spans="1:4" x14ac:dyDescent="0.3">
      <c r="A44" s="2" t="s">
        <v>8</v>
      </c>
      <c r="B44" s="2">
        <v>2002</v>
      </c>
      <c r="C44" s="6"/>
      <c r="D44" s="2">
        <f>'Assumed Literacy Rate'!C9</f>
        <v>59.491</v>
      </c>
    </row>
    <row r="45" spans="1:4" x14ac:dyDescent="0.3">
      <c r="A45" s="2" t="s">
        <v>9</v>
      </c>
      <c r="B45" s="2">
        <v>2002</v>
      </c>
      <c r="C45" s="6"/>
      <c r="D45" s="2">
        <f>'Assumed Literacy Rate'!C10</f>
        <v>79.072000000000003</v>
      </c>
    </row>
    <row r="46" spans="1:4" x14ac:dyDescent="0.3">
      <c r="A46" s="2" t="s">
        <v>10</v>
      </c>
      <c r="B46" s="2">
        <v>2002</v>
      </c>
      <c r="C46" s="6"/>
      <c r="D46" s="2">
        <f>'Assumed Literacy Rate'!C11</f>
        <v>82.123999999999995</v>
      </c>
    </row>
    <row r="47" spans="1:4" x14ac:dyDescent="0.3">
      <c r="A47" s="2" t="s">
        <v>11</v>
      </c>
      <c r="B47" s="2">
        <v>2002</v>
      </c>
      <c r="C47" s="6"/>
      <c r="D47" s="2">
        <f>'Assumed Literacy Rate'!C12</f>
        <v>82.679000000000002</v>
      </c>
    </row>
    <row r="48" spans="1:4" x14ac:dyDescent="0.3">
      <c r="A48" s="2" t="s">
        <v>12</v>
      </c>
      <c r="B48" s="2">
        <v>2002</v>
      </c>
      <c r="C48" s="6"/>
      <c r="D48" s="2">
        <f>'Assumed Literacy Rate'!C13</f>
        <v>70.028999999999996</v>
      </c>
    </row>
    <row r="49" spans="1:4" x14ac:dyDescent="0.3">
      <c r="A49" s="2" t="s">
        <v>13</v>
      </c>
      <c r="B49" s="2">
        <v>2002</v>
      </c>
      <c r="C49" s="6"/>
      <c r="D49" s="2">
        <f>'Assumed Literacy Rate'!C14</f>
        <v>68.673999999999992</v>
      </c>
    </row>
    <row r="50" spans="1:4" x14ac:dyDescent="0.3">
      <c r="A50" s="2" t="s">
        <v>14</v>
      </c>
      <c r="B50" s="2">
        <v>2002</v>
      </c>
      <c r="C50" s="6"/>
      <c r="D50" s="2">
        <f>'Assumed Literacy Rate'!C15</f>
        <v>77.112000000000009</v>
      </c>
    </row>
    <row r="51" spans="1:4" x14ac:dyDescent="0.3">
      <c r="A51" s="2" t="s">
        <v>15</v>
      </c>
      <c r="B51" s="2">
        <v>2002</v>
      </c>
      <c r="C51" s="6"/>
      <c r="D51" s="2">
        <f>'Assumed Literacy Rate'!C16</f>
        <v>56.684000000000005</v>
      </c>
    </row>
    <row r="52" spans="1:4" x14ac:dyDescent="0.3">
      <c r="A52" s="2" t="s">
        <v>16</v>
      </c>
      <c r="B52" s="2">
        <v>2002</v>
      </c>
      <c r="C52" s="6"/>
      <c r="D52" s="2">
        <f>'Assumed Literacy Rate'!C17</f>
        <v>54.844999999999999</v>
      </c>
    </row>
    <row r="53" spans="1:4" x14ac:dyDescent="0.3">
      <c r="A53" s="2" t="s">
        <v>17</v>
      </c>
      <c r="B53" s="2">
        <v>2002</v>
      </c>
      <c r="C53" s="6"/>
      <c r="D53" s="2">
        <f>'Assumed Literacy Rate'!C18</f>
        <v>67.47699999999999</v>
      </c>
    </row>
    <row r="54" spans="1:4" x14ac:dyDescent="0.3">
      <c r="A54" s="2" t="s">
        <v>18</v>
      </c>
      <c r="B54" s="2">
        <v>2002</v>
      </c>
      <c r="C54" s="6"/>
      <c r="D54" s="2">
        <f>'Assumed Literacy Rate'!C19</f>
        <v>91.174000000000007</v>
      </c>
    </row>
    <row r="55" spans="1:4" x14ac:dyDescent="0.3">
      <c r="A55" s="2" t="s">
        <v>19</v>
      </c>
      <c r="B55" s="2">
        <v>2002</v>
      </c>
      <c r="C55" s="6"/>
      <c r="D55" s="2">
        <f>'Assumed Literacy Rate'!C20</f>
        <v>87.179000000000002</v>
      </c>
    </row>
    <row r="56" spans="1:4" x14ac:dyDescent="0.3">
      <c r="A56" s="2" t="s">
        <v>20</v>
      </c>
      <c r="B56" s="2">
        <v>2002</v>
      </c>
      <c r="C56" s="6"/>
      <c r="D56" s="2">
        <f>'Assumed Literacy Rate'!C21</f>
        <v>64.298000000000002</v>
      </c>
    </row>
    <row r="57" spans="1:4" x14ac:dyDescent="0.3">
      <c r="A57" s="2" t="s">
        <v>21</v>
      </c>
      <c r="B57" s="2">
        <v>2002</v>
      </c>
      <c r="C57" s="6"/>
      <c r="D57" s="2">
        <f>'Assumed Literacy Rate'!C22</f>
        <v>77.426000000000002</v>
      </c>
    </row>
    <row r="58" spans="1:4" x14ac:dyDescent="0.3">
      <c r="A58" s="2" t="s">
        <v>22</v>
      </c>
      <c r="B58" s="2">
        <v>2002</v>
      </c>
      <c r="C58" s="6"/>
      <c r="D58" s="2">
        <f>'Assumed Literacy Rate'!C23</f>
        <v>71.37</v>
      </c>
    </row>
    <row r="59" spans="1:4" x14ac:dyDescent="0.3">
      <c r="A59" s="2" t="s">
        <v>23</v>
      </c>
      <c r="B59" s="2">
        <v>2002</v>
      </c>
      <c r="C59" s="6"/>
      <c r="D59" s="2">
        <f>'Assumed Literacy Rate'!C24</f>
        <v>63.747</v>
      </c>
    </row>
    <row r="60" spans="1:4" x14ac:dyDescent="0.3">
      <c r="A60" s="2" t="s">
        <v>24</v>
      </c>
      <c r="B60" s="2">
        <v>2002</v>
      </c>
      <c r="C60" s="6"/>
      <c r="D60" s="2">
        <f>'Assumed Literacy Rate'!C25</f>
        <v>89.052999999999997</v>
      </c>
    </row>
    <row r="61" spans="1:4" x14ac:dyDescent="0.3">
      <c r="A61" s="2" t="s">
        <v>25</v>
      </c>
      <c r="B61" s="2">
        <v>2002</v>
      </c>
      <c r="C61" s="6"/>
      <c r="D61" s="2">
        <f>'Assumed Literacy Rate'!C26</f>
        <v>67.891000000000005</v>
      </c>
    </row>
    <row r="62" spans="1:4" x14ac:dyDescent="0.3">
      <c r="A62" s="2" t="s">
        <v>26</v>
      </c>
      <c r="B62" s="2">
        <v>2002</v>
      </c>
      <c r="C62" s="6"/>
      <c r="D62" s="2">
        <f>'Assumed Literacy Rate'!C27</f>
        <v>64.060999999999993</v>
      </c>
    </row>
    <row r="63" spans="1:4" x14ac:dyDescent="0.3">
      <c r="A63" s="2" t="s">
        <v>27</v>
      </c>
      <c r="B63" s="2">
        <v>2002</v>
      </c>
      <c r="C63" s="6"/>
      <c r="D63" s="2">
        <f>'Assumed Literacy Rate'!C28</f>
        <v>81.700999999999993</v>
      </c>
    </row>
    <row r="64" spans="1:4" x14ac:dyDescent="0.3">
      <c r="A64" s="2" t="s">
        <v>28</v>
      </c>
      <c r="B64" s="2">
        <v>2002</v>
      </c>
      <c r="C64" s="6"/>
      <c r="D64" s="2">
        <f>'Assumed Literacy Rate'!C29</f>
        <v>70.269000000000005</v>
      </c>
    </row>
    <row r="65" spans="1:4" x14ac:dyDescent="0.3">
      <c r="A65" s="2" t="s">
        <v>29</v>
      </c>
      <c r="B65" s="2">
        <v>2002</v>
      </c>
      <c r="C65" s="6"/>
      <c r="D65" s="2">
        <f>'Assumed Literacy Rate'!C30</f>
        <v>60.98</v>
      </c>
    </row>
    <row r="66" spans="1:4" x14ac:dyDescent="0.3">
      <c r="A66" s="2" t="s">
        <v>30</v>
      </c>
      <c r="B66" s="2">
        <v>2002</v>
      </c>
      <c r="C66" s="6"/>
      <c r="D66" s="2">
        <f>'Assumed Literacy Rate'!C31</f>
        <v>70.070999999999998</v>
      </c>
    </row>
    <row r="67" spans="1:4" x14ac:dyDescent="0.3">
      <c r="A67" s="2" t="s">
        <v>31</v>
      </c>
      <c r="B67" s="2">
        <v>2002</v>
      </c>
      <c r="C67" s="6"/>
      <c r="D67" s="2">
        <f>'Assumed Literacy Rate'!C32</f>
        <v>74.114000000000004</v>
      </c>
    </row>
    <row r="68" spans="1:4" x14ac:dyDescent="0.3">
      <c r="A68" s="2" t="s">
        <v>32</v>
      </c>
      <c r="B68" s="2">
        <v>2002</v>
      </c>
      <c r="C68" s="6"/>
      <c r="D68" s="2">
        <f>'Assumed Literacy Rate'!C33</f>
        <v>74.593000000000004</v>
      </c>
    </row>
    <row r="69" spans="1:4" x14ac:dyDescent="0.3">
      <c r="A69" s="2" t="s">
        <v>33</v>
      </c>
      <c r="B69" s="2">
        <v>2002</v>
      </c>
      <c r="C69" s="6"/>
      <c r="D69" s="2">
        <f>'Assumed Literacy Rate'!C34</f>
        <v>57.411000000000001</v>
      </c>
    </row>
    <row r="70" spans="1:4" x14ac:dyDescent="0.3">
      <c r="A70" s="2" t="s">
        <v>34</v>
      </c>
      <c r="B70" s="2">
        <v>2002</v>
      </c>
      <c r="C70" s="6"/>
      <c r="D70" s="2">
        <f>'Assumed Literacy Rate'!C35</f>
        <v>72.34</v>
      </c>
    </row>
    <row r="71" spans="1:4" x14ac:dyDescent="0.3">
      <c r="A71" s="2" t="s">
        <v>35</v>
      </c>
      <c r="B71" s="2">
        <v>2002</v>
      </c>
      <c r="C71" s="6"/>
      <c r="D71" s="2">
        <f>'Assumed Literacy Rate'!C36</f>
        <v>69.402000000000001</v>
      </c>
    </row>
    <row r="72" spans="1:4" x14ac:dyDescent="0.3">
      <c r="A72" s="2" t="s">
        <v>0</v>
      </c>
      <c r="B72" s="2">
        <v>2003</v>
      </c>
      <c r="C72" s="6">
        <v>361</v>
      </c>
      <c r="D72" s="2">
        <f>'Assumed Literacy Rate'!D2</f>
        <v>82.366</v>
      </c>
    </row>
    <row r="73" spans="1:4" x14ac:dyDescent="0.3">
      <c r="A73" s="2" t="s">
        <v>1</v>
      </c>
      <c r="B73" s="2">
        <v>2003</v>
      </c>
      <c r="C73" s="6"/>
      <c r="D73" s="2">
        <f>'Assumed Literacy Rate'!D3</f>
        <v>61.78</v>
      </c>
    </row>
    <row r="74" spans="1:4" x14ac:dyDescent="0.3">
      <c r="A74" s="2" t="s">
        <v>3</v>
      </c>
      <c r="B74" s="2">
        <v>2003</v>
      </c>
      <c r="C74" s="6"/>
      <c r="D74" s="2">
        <f>'Assumed Literacy Rate'!D4</f>
        <v>56.55</v>
      </c>
    </row>
    <row r="75" spans="1:4" x14ac:dyDescent="0.3">
      <c r="A75" s="2" t="s">
        <v>4</v>
      </c>
      <c r="B75" s="2">
        <v>2003</v>
      </c>
      <c r="C75" s="6"/>
      <c r="D75" s="2">
        <f>'Assumed Literacy Rate'!D5</f>
        <v>65.038000000000011</v>
      </c>
    </row>
    <row r="76" spans="1:4" x14ac:dyDescent="0.3">
      <c r="A76" s="2" t="s">
        <v>5</v>
      </c>
      <c r="B76" s="2">
        <v>2003</v>
      </c>
      <c r="C76" s="6"/>
      <c r="D76" s="2">
        <f>'Assumed Literacy Rate'!D6</f>
        <v>49.959999999999994</v>
      </c>
    </row>
    <row r="77" spans="1:4" x14ac:dyDescent="0.3">
      <c r="A77" s="2" t="s">
        <v>6</v>
      </c>
      <c r="B77" s="2">
        <v>2003</v>
      </c>
      <c r="C77" s="6"/>
      <c r="D77" s="2">
        <f>'Assumed Literacy Rate'!D7</f>
        <v>82.762</v>
      </c>
    </row>
    <row r="78" spans="1:4" x14ac:dyDescent="0.3">
      <c r="A78" s="2" t="s">
        <v>7</v>
      </c>
      <c r="B78" s="2">
        <v>2003</v>
      </c>
      <c r="C78" s="6"/>
      <c r="D78" s="2">
        <f>'Assumed Literacy Rate'!D8</f>
        <v>65.783999999999992</v>
      </c>
    </row>
    <row r="79" spans="1:4" x14ac:dyDescent="0.3">
      <c r="A79" s="2" t="s">
        <v>8</v>
      </c>
      <c r="B79" s="2">
        <v>2003</v>
      </c>
      <c r="C79" s="6"/>
      <c r="D79" s="2">
        <f>'Assumed Literacy Rate'!D9</f>
        <v>61.351999999999997</v>
      </c>
    </row>
    <row r="80" spans="1:4" x14ac:dyDescent="0.3">
      <c r="A80" s="2" t="s">
        <v>9</v>
      </c>
      <c r="B80" s="2">
        <v>2003</v>
      </c>
      <c r="C80" s="6"/>
      <c r="D80" s="2">
        <f>'Assumed Literacy Rate'!D10</f>
        <v>79.963999999999999</v>
      </c>
    </row>
    <row r="81" spans="1:4" x14ac:dyDescent="0.3">
      <c r="A81" s="2" t="s">
        <v>10</v>
      </c>
      <c r="B81" s="2">
        <v>2003</v>
      </c>
      <c r="C81" s="6"/>
      <c r="D81" s="2">
        <f>'Assumed Literacy Rate'!D11</f>
        <v>82.577999999999989</v>
      </c>
    </row>
    <row r="82" spans="1:4" x14ac:dyDescent="0.3">
      <c r="A82" s="2" t="s">
        <v>11</v>
      </c>
      <c r="B82" s="2">
        <v>2003</v>
      </c>
      <c r="C82" s="6"/>
      <c r="D82" s="2">
        <f>'Assumed Literacy Rate'!D12</f>
        <v>83.347999999999999</v>
      </c>
    </row>
    <row r="83" spans="1:4" x14ac:dyDescent="0.3">
      <c r="A83" s="2" t="s">
        <v>12</v>
      </c>
      <c r="B83" s="2">
        <v>2003</v>
      </c>
      <c r="C83" s="6"/>
      <c r="D83" s="2">
        <f>'Assumed Literacy Rate'!D13</f>
        <v>70.917999999999992</v>
      </c>
    </row>
    <row r="84" spans="1:4" x14ac:dyDescent="0.3">
      <c r="A84" s="2" t="s">
        <v>13</v>
      </c>
      <c r="B84" s="2">
        <v>2003</v>
      </c>
      <c r="C84" s="6"/>
      <c r="D84" s="2">
        <f>'Assumed Literacy Rate'!D14</f>
        <v>69.437999999999988</v>
      </c>
    </row>
    <row r="85" spans="1:4" x14ac:dyDescent="0.3">
      <c r="A85" s="2" t="s">
        <v>14</v>
      </c>
      <c r="B85" s="2">
        <v>2003</v>
      </c>
      <c r="C85" s="6"/>
      <c r="D85" s="2">
        <f>'Assumed Literacy Rate'!D15</f>
        <v>77.744000000000014</v>
      </c>
    </row>
    <row r="86" spans="1:4" x14ac:dyDescent="0.3">
      <c r="A86" s="2" t="s">
        <v>15</v>
      </c>
      <c r="B86" s="2">
        <v>2003</v>
      </c>
      <c r="C86" s="6"/>
      <c r="D86" s="2">
        <f>'Assumed Literacy Rate'!D16</f>
        <v>57.848000000000006</v>
      </c>
    </row>
    <row r="87" spans="1:4" x14ac:dyDescent="0.3">
      <c r="A87" s="2" t="s">
        <v>16</v>
      </c>
      <c r="B87" s="2">
        <v>2003</v>
      </c>
      <c r="C87" s="6"/>
      <c r="D87" s="2">
        <f>'Assumed Literacy Rate'!D17</f>
        <v>56.129999999999995</v>
      </c>
    </row>
    <row r="88" spans="1:4" x14ac:dyDescent="0.3">
      <c r="A88" s="2" t="s">
        <v>17</v>
      </c>
      <c r="B88" s="2">
        <v>2003</v>
      </c>
      <c r="C88" s="6"/>
      <c r="D88" s="2">
        <f>'Assumed Literacy Rate'!D18</f>
        <v>68.353999999999985</v>
      </c>
    </row>
    <row r="89" spans="1:4" x14ac:dyDescent="0.3">
      <c r="A89" s="2" t="s">
        <v>18</v>
      </c>
      <c r="B89" s="2">
        <v>2003</v>
      </c>
      <c r="C89" s="6"/>
      <c r="D89" s="2">
        <f>'Assumed Literacy Rate'!D19</f>
        <v>91.488</v>
      </c>
    </row>
    <row r="90" spans="1:4" x14ac:dyDescent="0.3">
      <c r="A90" s="2" t="s">
        <v>19</v>
      </c>
      <c r="B90" s="2">
        <v>2003</v>
      </c>
      <c r="C90" s="6"/>
      <c r="D90" s="2">
        <f>'Assumed Literacy Rate'!D20</f>
        <v>87.698000000000008</v>
      </c>
    </row>
    <row r="91" spans="1:4" x14ac:dyDescent="0.3">
      <c r="A91" s="2" t="s">
        <v>20</v>
      </c>
      <c r="B91" s="2">
        <v>2003</v>
      </c>
      <c r="C91" s="6"/>
      <c r="D91" s="2">
        <f>'Assumed Literacy Rate'!D21</f>
        <v>64.855999999999995</v>
      </c>
    </row>
    <row r="92" spans="1:4" x14ac:dyDescent="0.3">
      <c r="A92" s="2" t="s">
        <v>21</v>
      </c>
      <c r="B92" s="2">
        <v>2003</v>
      </c>
      <c r="C92" s="6"/>
      <c r="D92" s="2">
        <f>'Assumed Literacy Rate'!D22</f>
        <v>77.972000000000008</v>
      </c>
    </row>
    <row r="93" spans="1:4" x14ac:dyDescent="0.3">
      <c r="A93" s="2" t="s">
        <v>22</v>
      </c>
      <c r="B93" s="2">
        <v>2003</v>
      </c>
      <c r="C93" s="6"/>
      <c r="D93" s="2">
        <f>'Assumed Literacy Rate'!D23</f>
        <v>72.240000000000009</v>
      </c>
    </row>
    <row r="94" spans="1:4" x14ac:dyDescent="0.3">
      <c r="A94" s="2" t="s">
        <v>23</v>
      </c>
      <c r="B94" s="2">
        <v>2003</v>
      </c>
      <c r="C94" s="6"/>
      <c r="D94" s="2">
        <f>'Assumed Literacy Rate'!D24</f>
        <v>64.933999999999997</v>
      </c>
    </row>
    <row r="95" spans="1:4" x14ac:dyDescent="0.3">
      <c r="A95" s="2" t="s">
        <v>24</v>
      </c>
      <c r="B95" s="2">
        <v>2003</v>
      </c>
      <c r="C95" s="6"/>
      <c r="D95" s="2">
        <f>'Assumed Literacy Rate'!D25</f>
        <v>89.305999999999997</v>
      </c>
    </row>
    <row r="96" spans="1:4" x14ac:dyDescent="0.3">
      <c r="A96" s="2" t="s">
        <v>25</v>
      </c>
      <c r="B96" s="2">
        <v>2003</v>
      </c>
      <c r="C96" s="6"/>
      <c r="D96" s="2">
        <f>'Assumed Literacy Rate'!D26</f>
        <v>69.192000000000007</v>
      </c>
    </row>
    <row r="97" spans="1:4" x14ac:dyDescent="0.3">
      <c r="A97" s="2" t="s">
        <v>26</v>
      </c>
      <c r="B97" s="2">
        <v>2003</v>
      </c>
      <c r="C97" s="6"/>
      <c r="D97" s="2">
        <f>'Assumed Literacy Rate'!D27</f>
        <v>65.041999999999987</v>
      </c>
    </row>
    <row r="98" spans="1:4" x14ac:dyDescent="0.3">
      <c r="A98" s="2" t="s">
        <v>27</v>
      </c>
      <c r="B98" s="2">
        <v>2003</v>
      </c>
      <c r="C98" s="6"/>
      <c r="D98" s="2">
        <f>'Assumed Literacy Rate'!D28</f>
        <v>82.161999999999992</v>
      </c>
    </row>
    <row r="99" spans="1:4" x14ac:dyDescent="0.3">
      <c r="A99" s="2" t="s">
        <v>28</v>
      </c>
      <c r="B99" s="2">
        <v>2003</v>
      </c>
      <c r="C99" s="6"/>
      <c r="D99" s="2">
        <f>'Assumed Literacy Rate'!D29</f>
        <v>70.888000000000005</v>
      </c>
    </row>
    <row r="100" spans="1:4" x14ac:dyDescent="0.3">
      <c r="A100" s="2" t="s">
        <v>29</v>
      </c>
      <c r="B100" s="2">
        <v>2003</v>
      </c>
      <c r="C100" s="6"/>
      <c r="D100" s="2">
        <f>'Assumed Literacy Rate'!D30</f>
        <v>61.55</v>
      </c>
    </row>
    <row r="101" spans="1:4" x14ac:dyDescent="0.3">
      <c r="A101" s="2" t="s">
        <v>30</v>
      </c>
      <c r="B101" s="2">
        <v>2003</v>
      </c>
      <c r="C101" s="6"/>
      <c r="D101" s="2">
        <f>'Assumed Literacy Rate'!D31</f>
        <v>71.331999999999994</v>
      </c>
    </row>
    <row r="102" spans="1:4" x14ac:dyDescent="0.3">
      <c r="A102" s="2" t="s">
        <v>31</v>
      </c>
      <c r="B102" s="2">
        <v>2003</v>
      </c>
      <c r="C102" s="6"/>
      <c r="D102" s="2">
        <f>'Assumed Literacy Rate'!D32</f>
        <v>74.778000000000006</v>
      </c>
    </row>
    <row r="103" spans="1:4" x14ac:dyDescent="0.3">
      <c r="A103" s="2" t="s">
        <v>32</v>
      </c>
      <c r="B103" s="2">
        <v>2003</v>
      </c>
      <c r="C103" s="6"/>
      <c r="D103" s="2">
        <f>'Assumed Literacy Rate'!D33</f>
        <v>75.996000000000009</v>
      </c>
    </row>
    <row r="104" spans="1:4" x14ac:dyDescent="0.3">
      <c r="A104" s="2" t="s">
        <v>33</v>
      </c>
      <c r="B104" s="2">
        <v>2003</v>
      </c>
      <c r="C104" s="6"/>
      <c r="D104" s="2">
        <f>'Assumed Literacy Rate'!D34</f>
        <v>58.552</v>
      </c>
    </row>
    <row r="105" spans="1:4" x14ac:dyDescent="0.3">
      <c r="A105" s="2" t="s">
        <v>34</v>
      </c>
      <c r="B105" s="2">
        <v>2003</v>
      </c>
      <c r="C105" s="6"/>
      <c r="D105" s="2">
        <f>'Assumed Literacy Rate'!D35</f>
        <v>73.06</v>
      </c>
    </row>
    <row r="106" spans="1:4" x14ac:dyDescent="0.3">
      <c r="A106" s="2" t="s">
        <v>35</v>
      </c>
      <c r="B106" s="2">
        <v>2003</v>
      </c>
      <c r="C106" s="6"/>
      <c r="D106" s="2">
        <f>'Assumed Literacy Rate'!D36</f>
        <v>70.164000000000001</v>
      </c>
    </row>
    <row r="107" spans="1:4" x14ac:dyDescent="0.3">
      <c r="A107" s="2" t="s">
        <v>0</v>
      </c>
      <c r="B107" s="2">
        <v>2004</v>
      </c>
      <c r="C107" s="6">
        <v>364</v>
      </c>
      <c r="D107" s="2">
        <f>'Assumed Literacy Rate'!E2</f>
        <v>82.899000000000001</v>
      </c>
    </row>
    <row r="108" spans="1:4" x14ac:dyDescent="0.3">
      <c r="A108" s="2" t="s">
        <v>1</v>
      </c>
      <c r="B108" s="2">
        <v>2004</v>
      </c>
      <c r="C108" s="6"/>
      <c r="D108" s="2">
        <f>'Assumed Literacy Rate'!E3</f>
        <v>62.435000000000002</v>
      </c>
    </row>
    <row r="109" spans="1:4" x14ac:dyDescent="0.3">
      <c r="A109" s="2" t="s">
        <v>3</v>
      </c>
      <c r="B109" s="2">
        <v>2004</v>
      </c>
      <c r="C109" s="6"/>
      <c r="D109" s="2">
        <f>'Assumed Literacy Rate'!E4</f>
        <v>57.654999999999994</v>
      </c>
    </row>
    <row r="110" spans="1:4" x14ac:dyDescent="0.3">
      <c r="A110" s="2" t="s">
        <v>4</v>
      </c>
      <c r="B110" s="2">
        <v>2004</v>
      </c>
      <c r="C110" s="6"/>
      <c r="D110" s="2">
        <f>'Assumed Literacy Rate'!E5</f>
        <v>65.932000000000016</v>
      </c>
    </row>
    <row r="111" spans="1:4" x14ac:dyDescent="0.3">
      <c r="A111" s="2" t="s">
        <v>5</v>
      </c>
      <c r="B111" s="2">
        <v>2004</v>
      </c>
      <c r="C111" s="6"/>
      <c r="D111" s="2">
        <f>'Assumed Literacy Rate'!E6</f>
        <v>51.439999999999991</v>
      </c>
    </row>
    <row r="112" spans="1:4" x14ac:dyDescent="0.3">
      <c r="A112" s="2" t="s">
        <v>6</v>
      </c>
      <c r="B112" s="2">
        <v>2004</v>
      </c>
      <c r="C112" s="6"/>
      <c r="D112" s="2">
        <f>'Assumed Literacy Rate'!E7</f>
        <v>83.173000000000002</v>
      </c>
    </row>
    <row r="113" spans="1:4" x14ac:dyDescent="0.3">
      <c r="A113" s="2" t="s">
        <v>7</v>
      </c>
      <c r="B113" s="2">
        <v>2004</v>
      </c>
      <c r="C113" s="6"/>
      <c r="D113" s="2">
        <f>'Assumed Literacy Rate'!E8</f>
        <v>66.345999999999989</v>
      </c>
    </row>
    <row r="114" spans="1:4" x14ac:dyDescent="0.3">
      <c r="A114" s="2" t="s">
        <v>8</v>
      </c>
      <c r="B114" s="2">
        <v>2004</v>
      </c>
      <c r="C114" s="6"/>
      <c r="D114" s="2">
        <f>'Assumed Literacy Rate'!E9</f>
        <v>63.212999999999994</v>
      </c>
    </row>
    <row r="115" spans="1:4" x14ac:dyDescent="0.3">
      <c r="A115" s="2" t="s">
        <v>9</v>
      </c>
      <c r="B115" s="2">
        <v>2004</v>
      </c>
      <c r="C115" s="6"/>
      <c r="D115" s="2">
        <f>'Assumed Literacy Rate'!E10</f>
        <v>80.855999999999995</v>
      </c>
    </row>
    <row r="116" spans="1:4" x14ac:dyDescent="0.3">
      <c r="A116" s="2" t="s">
        <v>10</v>
      </c>
      <c r="B116" s="2">
        <v>2004</v>
      </c>
      <c r="C116" s="6"/>
      <c r="D116" s="2">
        <f>'Assumed Literacy Rate'!E11</f>
        <v>83.031999999999982</v>
      </c>
    </row>
    <row r="117" spans="1:4" x14ac:dyDescent="0.3">
      <c r="A117" s="2" t="s">
        <v>11</v>
      </c>
      <c r="B117" s="2">
        <v>2004</v>
      </c>
      <c r="C117" s="6"/>
      <c r="D117" s="2">
        <f>'Assumed Literacy Rate'!E12</f>
        <v>84.016999999999996</v>
      </c>
    </row>
    <row r="118" spans="1:4" x14ac:dyDescent="0.3">
      <c r="A118" s="2" t="s">
        <v>12</v>
      </c>
      <c r="B118" s="2">
        <v>2004</v>
      </c>
      <c r="C118" s="6"/>
      <c r="D118" s="2">
        <f>'Assumed Literacy Rate'!E13</f>
        <v>71.806999999999988</v>
      </c>
    </row>
    <row r="119" spans="1:4" x14ac:dyDescent="0.3">
      <c r="A119" s="2" t="s">
        <v>13</v>
      </c>
      <c r="B119" s="2">
        <v>2004</v>
      </c>
      <c r="C119" s="6"/>
      <c r="D119" s="2">
        <f>'Assumed Literacy Rate'!E14</f>
        <v>70.201999999999984</v>
      </c>
    </row>
    <row r="120" spans="1:4" x14ac:dyDescent="0.3">
      <c r="A120" s="2" t="s">
        <v>14</v>
      </c>
      <c r="B120" s="2">
        <v>2004</v>
      </c>
      <c r="C120" s="6"/>
      <c r="D120" s="2">
        <f>'Assumed Literacy Rate'!E15</f>
        <v>78.376000000000019</v>
      </c>
    </row>
    <row r="121" spans="1:4" x14ac:dyDescent="0.3">
      <c r="A121" s="2" t="s">
        <v>15</v>
      </c>
      <c r="B121" s="2">
        <v>2004</v>
      </c>
      <c r="C121" s="6"/>
      <c r="D121" s="2">
        <f>'Assumed Literacy Rate'!E16</f>
        <v>59.012000000000008</v>
      </c>
    </row>
    <row r="122" spans="1:4" x14ac:dyDescent="0.3">
      <c r="A122" s="2" t="s">
        <v>16</v>
      </c>
      <c r="B122" s="2">
        <v>2004</v>
      </c>
      <c r="C122" s="6"/>
      <c r="D122" s="2">
        <f>'Assumed Literacy Rate'!E17</f>
        <v>57.414999999999992</v>
      </c>
    </row>
    <row r="123" spans="1:4" x14ac:dyDescent="0.3">
      <c r="A123" s="2" t="s">
        <v>17</v>
      </c>
      <c r="B123" s="2">
        <v>2004</v>
      </c>
      <c r="C123" s="6"/>
      <c r="D123" s="2">
        <f>'Assumed Literacy Rate'!E18</f>
        <v>69.23099999999998</v>
      </c>
    </row>
    <row r="124" spans="1:4" x14ac:dyDescent="0.3">
      <c r="A124" s="2" t="s">
        <v>18</v>
      </c>
      <c r="B124" s="2">
        <v>2004</v>
      </c>
      <c r="C124" s="6"/>
      <c r="D124" s="2">
        <f>'Assumed Literacy Rate'!E19</f>
        <v>91.801999999999992</v>
      </c>
    </row>
    <row r="125" spans="1:4" x14ac:dyDescent="0.3">
      <c r="A125" s="2" t="s">
        <v>19</v>
      </c>
      <c r="B125" s="2">
        <v>2004</v>
      </c>
      <c r="C125" s="6"/>
      <c r="D125" s="2">
        <f>'Assumed Literacy Rate'!E20</f>
        <v>88.217000000000013</v>
      </c>
    </row>
    <row r="126" spans="1:4" x14ac:dyDescent="0.3">
      <c r="A126" s="2" t="s">
        <v>20</v>
      </c>
      <c r="B126" s="2">
        <v>2004</v>
      </c>
      <c r="C126" s="6"/>
      <c r="D126" s="2">
        <f>'Assumed Literacy Rate'!E21</f>
        <v>65.413999999999987</v>
      </c>
    </row>
    <row r="127" spans="1:4" x14ac:dyDescent="0.3">
      <c r="A127" s="2" t="s">
        <v>21</v>
      </c>
      <c r="B127" s="2">
        <v>2004</v>
      </c>
      <c r="C127" s="6"/>
      <c r="D127" s="2">
        <f>'Assumed Literacy Rate'!E22</f>
        <v>78.518000000000015</v>
      </c>
    </row>
    <row r="128" spans="1:4" x14ac:dyDescent="0.3">
      <c r="A128" s="2" t="s">
        <v>22</v>
      </c>
      <c r="B128" s="2">
        <v>2004</v>
      </c>
      <c r="C128" s="6"/>
      <c r="D128" s="2">
        <f>'Assumed Literacy Rate'!E23</f>
        <v>73.110000000000014</v>
      </c>
    </row>
    <row r="129" spans="1:4" x14ac:dyDescent="0.3">
      <c r="A129" s="2" t="s">
        <v>23</v>
      </c>
      <c r="B129" s="2">
        <v>2004</v>
      </c>
      <c r="C129" s="6"/>
      <c r="D129" s="2">
        <f>'Assumed Literacy Rate'!E24</f>
        <v>66.120999999999995</v>
      </c>
    </row>
    <row r="130" spans="1:4" x14ac:dyDescent="0.3">
      <c r="A130" s="2" t="s">
        <v>24</v>
      </c>
      <c r="B130" s="2">
        <v>2004</v>
      </c>
      <c r="C130" s="6"/>
      <c r="D130" s="2">
        <f>'Assumed Literacy Rate'!E25</f>
        <v>89.558999999999997</v>
      </c>
    </row>
    <row r="131" spans="1:4" x14ac:dyDescent="0.3">
      <c r="A131" s="2" t="s">
        <v>25</v>
      </c>
      <c r="B131" s="2">
        <v>2004</v>
      </c>
      <c r="C131" s="6"/>
      <c r="D131" s="2">
        <f>'Assumed Literacy Rate'!E26</f>
        <v>70.493000000000009</v>
      </c>
    </row>
    <row r="132" spans="1:4" x14ac:dyDescent="0.3">
      <c r="A132" s="2" t="s">
        <v>26</v>
      </c>
      <c r="B132" s="2">
        <v>2004</v>
      </c>
      <c r="C132" s="6"/>
      <c r="D132" s="2">
        <f>'Assumed Literacy Rate'!E27</f>
        <v>66.022999999999982</v>
      </c>
    </row>
    <row r="133" spans="1:4" x14ac:dyDescent="0.3">
      <c r="A133" s="2" t="s">
        <v>27</v>
      </c>
      <c r="B133" s="2">
        <v>2004</v>
      </c>
      <c r="C133" s="6"/>
      <c r="D133" s="2">
        <f>'Assumed Literacy Rate'!E28</f>
        <v>82.62299999999999</v>
      </c>
    </row>
    <row r="134" spans="1:4" x14ac:dyDescent="0.3">
      <c r="A134" s="2" t="s">
        <v>28</v>
      </c>
      <c r="B134" s="2">
        <v>2004</v>
      </c>
      <c r="C134" s="6"/>
      <c r="D134" s="2">
        <f>'Assumed Literacy Rate'!E29</f>
        <v>71.507000000000005</v>
      </c>
    </row>
    <row r="135" spans="1:4" x14ac:dyDescent="0.3">
      <c r="A135" s="2" t="s">
        <v>29</v>
      </c>
      <c r="B135" s="2">
        <v>2004</v>
      </c>
      <c r="C135" s="6"/>
      <c r="D135" s="2">
        <f>'Assumed Literacy Rate'!E30</f>
        <v>62.12</v>
      </c>
    </row>
    <row r="136" spans="1:4" x14ac:dyDescent="0.3">
      <c r="A136" s="2" t="s">
        <v>30</v>
      </c>
      <c r="B136" s="2">
        <v>2004</v>
      </c>
      <c r="C136" s="6"/>
      <c r="D136" s="2">
        <f>'Assumed Literacy Rate'!E31</f>
        <v>72.592999999999989</v>
      </c>
    </row>
    <row r="137" spans="1:4" x14ac:dyDescent="0.3">
      <c r="A137" s="2" t="s">
        <v>31</v>
      </c>
      <c r="B137" s="2">
        <v>2004</v>
      </c>
      <c r="C137" s="6"/>
      <c r="D137" s="2">
        <f>'Assumed Literacy Rate'!E32</f>
        <v>75.442000000000007</v>
      </c>
    </row>
    <row r="138" spans="1:4" x14ac:dyDescent="0.3">
      <c r="A138" s="2" t="s">
        <v>32</v>
      </c>
      <c r="B138" s="2">
        <v>2004</v>
      </c>
      <c r="C138" s="6"/>
      <c r="D138" s="2">
        <f>'Assumed Literacy Rate'!E33</f>
        <v>77.399000000000015</v>
      </c>
    </row>
    <row r="139" spans="1:4" x14ac:dyDescent="0.3">
      <c r="A139" s="2" t="s">
        <v>33</v>
      </c>
      <c r="B139" s="2">
        <v>2004</v>
      </c>
      <c r="C139" s="6"/>
      <c r="D139" s="2">
        <f>'Assumed Literacy Rate'!E34</f>
        <v>59.692999999999998</v>
      </c>
    </row>
    <row r="140" spans="1:4" x14ac:dyDescent="0.3">
      <c r="A140" s="2" t="s">
        <v>34</v>
      </c>
      <c r="B140" s="2">
        <v>2004</v>
      </c>
      <c r="C140" s="6"/>
      <c r="D140" s="2">
        <f>'Assumed Literacy Rate'!E35</f>
        <v>73.78</v>
      </c>
    </row>
    <row r="141" spans="1:4" x14ac:dyDescent="0.3">
      <c r="A141" s="2" t="s">
        <v>35</v>
      </c>
      <c r="B141" s="2">
        <v>2004</v>
      </c>
      <c r="C141" s="6"/>
      <c r="D141" s="2">
        <f>'Assumed Literacy Rate'!E36</f>
        <v>70.926000000000002</v>
      </c>
    </row>
    <row r="142" spans="1:4" x14ac:dyDescent="0.3">
      <c r="A142" s="2" t="s">
        <v>0</v>
      </c>
      <c r="B142" s="2">
        <v>2005</v>
      </c>
      <c r="C142" s="6">
        <v>366</v>
      </c>
      <c r="D142" s="2">
        <f>'Assumed Literacy Rate'!F2</f>
        <v>83.432000000000002</v>
      </c>
    </row>
    <row r="143" spans="1:4" x14ac:dyDescent="0.3">
      <c r="A143" s="2" t="s">
        <v>1</v>
      </c>
      <c r="B143" s="2">
        <v>2005</v>
      </c>
      <c r="C143" s="6"/>
      <c r="D143" s="2">
        <f>'Assumed Literacy Rate'!F3</f>
        <v>63.09</v>
      </c>
    </row>
    <row r="144" spans="1:4" x14ac:dyDescent="0.3">
      <c r="A144" s="2" t="s">
        <v>3</v>
      </c>
      <c r="B144" s="2">
        <v>2005</v>
      </c>
      <c r="C144" s="6"/>
      <c r="D144" s="2">
        <f>'Assumed Literacy Rate'!F4</f>
        <v>58.759999999999991</v>
      </c>
    </row>
    <row r="145" spans="1:4" x14ac:dyDescent="0.3">
      <c r="A145" s="2" t="s">
        <v>4</v>
      </c>
      <c r="B145" s="2">
        <v>2005</v>
      </c>
      <c r="C145" s="6"/>
      <c r="D145" s="2">
        <f>'Assumed Literacy Rate'!F5</f>
        <v>66.826000000000022</v>
      </c>
    </row>
    <row r="146" spans="1:4" x14ac:dyDescent="0.3">
      <c r="A146" s="2" t="s">
        <v>5</v>
      </c>
      <c r="B146" s="2">
        <v>2005</v>
      </c>
      <c r="C146" s="6"/>
      <c r="D146" s="2">
        <f>'Assumed Literacy Rate'!F6</f>
        <v>52.919999999999987</v>
      </c>
    </row>
    <row r="147" spans="1:4" x14ac:dyDescent="0.3">
      <c r="A147" s="2" t="s">
        <v>6</v>
      </c>
      <c r="B147" s="2">
        <v>2005</v>
      </c>
      <c r="C147" s="6"/>
      <c r="D147" s="2">
        <f>'Assumed Literacy Rate'!F7</f>
        <v>83.584000000000003</v>
      </c>
    </row>
    <row r="148" spans="1:4" x14ac:dyDescent="0.3">
      <c r="A148" s="2" t="s">
        <v>7</v>
      </c>
      <c r="B148" s="2">
        <v>2005</v>
      </c>
      <c r="C148" s="6"/>
      <c r="D148" s="2">
        <f>'Assumed Literacy Rate'!F8</f>
        <v>66.907999999999987</v>
      </c>
    </row>
    <row r="149" spans="1:4" x14ac:dyDescent="0.3">
      <c r="A149" s="2" t="s">
        <v>8</v>
      </c>
      <c r="B149" s="2">
        <v>2005</v>
      </c>
      <c r="C149" s="6"/>
      <c r="D149" s="2">
        <f>'Assumed Literacy Rate'!F9</f>
        <v>65.073999999999998</v>
      </c>
    </row>
    <row r="150" spans="1:4" x14ac:dyDescent="0.3">
      <c r="A150" s="2" t="s">
        <v>9</v>
      </c>
      <c r="B150" s="2">
        <v>2005</v>
      </c>
      <c r="C150" s="6"/>
      <c r="D150" s="2">
        <f>'Assumed Literacy Rate'!F10</f>
        <v>81.74799999999999</v>
      </c>
    </row>
    <row r="151" spans="1:4" x14ac:dyDescent="0.3">
      <c r="A151" s="2" t="s">
        <v>10</v>
      </c>
      <c r="B151" s="2">
        <v>2005</v>
      </c>
      <c r="C151" s="6"/>
      <c r="D151" s="2">
        <f>'Assumed Literacy Rate'!F11</f>
        <v>83.485999999999976</v>
      </c>
    </row>
    <row r="152" spans="1:4" x14ac:dyDescent="0.3">
      <c r="A152" s="2" t="s">
        <v>11</v>
      </c>
      <c r="B152" s="2">
        <v>2005</v>
      </c>
      <c r="C152" s="6"/>
      <c r="D152" s="2">
        <f>'Assumed Literacy Rate'!F12</f>
        <v>84.685999999999993</v>
      </c>
    </row>
    <row r="153" spans="1:4" x14ac:dyDescent="0.3">
      <c r="A153" s="2" t="s">
        <v>12</v>
      </c>
      <c r="B153" s="2">
        <v>2005</v>
      </c>
      <c r="C153" s="6"/>
      <c r="D153" s="2">
        <f>'Assumed Literacy Rate'!F13</f>
        <v>72.695999999999984</v>
      </c>
    </row>
    <row r="154" spans="1:4" x14ac:dyDescent="0.3">
      <c r="A154" s="2" t="s">
        <v>13</v>
      </c>
      <c r="B154" s="2">
        <v>2005</v>
      </c>
      <c r="C154" s="6"/>
      <c r="D154" s="2">
        <f>'Assumed Literacy Rate'!F14</f>
        <v>70.96599999999998</v>
      </c>
    </row>
    <row r="155" spans="1:4" x14ac:dyDescent="0.3">
      <c r="A155" s="2" t="s">
        <v>14</v>
      </c>
      <c r="B155" s="2">
        <v>2005</v>
      </c>
      <c r="C155" s="6"/>
      <c r="D155" s="2">
        <f>'Assumed Literacy Rate'!F15</f>
        <v>79.008000000000024</v>
      </c>
    </row>
    <row r="156" spans="1:4" x14ac:dyDescent="0.3">
      <c r="A156" s="2" t="s">
        <v>15</v>
      </c>
      <c r="B156" s="2">
        <v>2005</v>
      </c>
      <c r="C156" s="6"/>
      <c r="D156" s="2">
        <f>'Assumed Literacy Rate'!F16</f>
        <v>60.176000000000009</v>
      </c>
    </row>
    <row r="157" spans="1:4" x14ac:dyDescent="0.3">
      <c r="A157" s="2" t="s">
        <v>16</v>
      </c>
      <c r="B157" s="2">
        <v>2005</v>
      </c>
      <c r="C157" s="6"/>
      <c r="D157" s="2">
        <f>'Assumed Literacy Rate'!F17</f>
        <v>58.699999999999989</v>
      </c>
    </row>
    <row r="158" spans="1:4" x14ac:dyDescent="0.3">
      <c r="A158" s="2" t="s">
        <v>17</v>
      </c>
      <c r="B158" s="2">
        <v>2005</v>
      </c>
      <c r="C158" s="6"/>
      <c r="D158" s="2">
        <f>'Assumed Literacy Rate'!F18</f>
        <v>70.107999999999976</v>
      </c>
    </row>
    <row r="159" spans="1:4" x14ac:dyDescent="0.3">
      <c r="A159" s="2" t="s">
        <v>18</v>
      </c>
      <c r="B159" s="2">
        <v>2005</v>
      </c>
      <c r="C159" s="6"/>
      <c r="D159" s="2">
        <f>'Assumed Literacy Rate'!F19</f>
        <v>92.115999999999985</v>
      </c>
    </row>
    <row r="160" spans="1:4" x14ac:dyDescent="0.3">
      <c r="A160" s="2" t="s">
        <v>19</v>
      </c>
      <c r="B160" s="2">
        <v>2005</v>
      </c>
      <c r="C160" s="6"/>
      <c r="D160" s="2">
        <f>'Assumed Literacy Rate'!F20</f>
        <v>88.736000000000018</v>
      </c>
    </row>
    <row r="161" spans="1:4" x14ac:dyDescent="0.3">
      <c r="A161" s="2" t="s">
        <v>20</v>
      </c>
      <c r="B161" s="2">
        <v>2005</v>
      </c>
      <c r="C161" s="6"/>
      <c r="D161" s="2">
        <f>'Assumed Literacy Rate'!F21</f>
        <v>65.97199999999998</v>
      </c>
    </row>
    <row r="162" spans="1:4" x14ac:dyDescent="0.3">
      <c r="A162" s="2" t="s">
        <v>21</v>
      </c>
      <c r="B162" s="2">
        <v>2005</v>
      </c>
      <c r="C162" s="6"/>
      <c r="D162" s="2">
        <f>'Assumed Literacy Rate'!F22</f>
        <v>79.064000000000021</v>
      </c>
    </row>
    <row r="163" spans="1:4" x14ac:dyDescent="0.3">
      <c r="A163" s="2" t="s">
        <v>22</v>
      </c>
      <c r="B163" s="2">
        <v>2005</v>
      </c>
      <c r="C163" s="6"/>
      <c r="D163" s="2">
        <f>'Assumed Literacy Rate'!F23</f>
        <v>73.980000000000018</v>
      </c>
    </row>
    <row r="164" spans="1:4" x14ac:dyDescent="0.3">
      <c r="A164" s="2" t="s">
        <v>23</v>
      </c>
      <c r="B164" s="2">
        <v>2005</v>
      </c>
      <c r="C164" s="6"/>
      <c r="D164" s="2">
        <f>'Assumed Literacy Rate'!F24</f>
        <v>67.307999999999993</v>
      </c>
    </row>
    <row r="165" spans="1:4" x14ac:dyDescent="0.3">
      <c r="A165" s="2" t="s">
        <v>24</v>
      </c>
      <c r="B165" s="2">
        <v>2005</v>
      </c>
      <c r="C165" s="6"/>
      <c r="D165" s="2">
        <f>'Assumed Literacy Rate'!F25</f>
        <v>89.811999999999998</v>
      </c>
    </row>
    <row r="166" spans="1:4" x14ac:dyDescent="0.3">
      <c r="A166" s="2" t="s">
        <v>25</v>
      </c>
      <c r="B166" s="2">
        <v>2005</v>
      </c>
      <c r="C166" s="6"/>
      <c r="D166" s="2">
        <f>'Assumed Literacy Rate'!F26</f>
        <v>71.794000000000011</v>
      </c>
    </row>
    <row r="167" spans="1:4" x14ac:dyDescent="0.3">
      <c r="A167" s="2" t="s">
        <v>26</v>
      </c>
      <c r="B167" s="2">
        <v>2005</v>
      </c>
      <c r="C167" s="6"/>
      <c r="D167" s="2">
        <f>'Assumed Literacy Rate'!F27</f>
        <v>67.003999999999976</v>
      </c>
    </row>
    <row r="168" spans="1:4" x14ac:dyDescent="0.3">
      <c r="A168" s="2" t="s">
        <v>27</v>
      </c>
      <c r="B168" s="2">
        <v>2005</v>
      </c>
      <c r="C168" s="6"/>
      <c r="D168" s="2">
        <f>'Assumed Literacy Rate'!F28</f>
        <v>83.083999999999989</v>
      </c>
    </row>
    <row r="169" spans="1:4" x14ac:dyDescent="0.3">
      <c r="A169" s="2" t="s">
        <v>28</v>
      </c>
      <c r="B169" s="2">
        <v>2005</v>
      </c>
      <c r="C169" s="6"/>
      <c r="D169" s="2">
        <f>'Assumed Literacy Rate'!F29</f>
        <v>72.126000000000005</v>
      </c>
    </row>
    <row r="170" spans="1:4" x14ac:dyDescent="0.3">
      <c r="A170" s="2" t="s">
        <v>29</v>
      </c>
      <c r="B170" s="2">
        <v>2005</v>
      </c>
      <c r="C170" s="6"/>
      <c r="D170" s="2">
        <f>'Assumed Literacy Rate'!F30</f>
        <v>62.69</v>
      </c>
    </row>
    <row r="171" spans="1:4" x14ac:dyDescent="0.3">
      <c r="A171" s="2" t="s">
        <v>30</v>
      </c>
      <c r="B171" s="2">
        <v>2005</v>
      </c>
      <c r="C171" s="6"/>
      <c r="D171" s="2">
        <f>'Assumed Literacy Rate'!F31</f>
        <v>73.853999999999985</v>
      </c>
    </row>
    <row r="172" spans="1:4" x14ac:dyDescent="0.3">
      <c r="A172" s="2" t="s">
        <v>31</v>
      </c>
      <c r="B172" s="2">
        <v>2005</v>
      </c>
      <c r="C172" s="6"/>
      <c r="D172" s="2">
        <f>'Assumed Literacy Rate'!F32</f>
        <v>76.106000000000009</v>
      </c>
    </row>
    <row r="173" spans="1:4" x14ac:dyDescent="0.3">
      <c r="A173" s="2" t="s">
        <v>32</v>
      </c>
      <c r="B173" s="2">
        <v>2005</v>
      </c>
      <c r="C173" s="6"/>
      <c r="D173" s="2">
        <f>'Assumed Literacy Rate'!F33</f>
        <v>78.802000000000021</v>
      </c>
    </row>
    <row r="174" spans="1:4" x14ac:dyDescent="0.3">
      <c r="A174" s="2" t="s">
        <v>33</v>
      </c>
      <c r="B174" s="2">
        <v>2005</v>
      </c>
      <c r="C174" s="6"/>
      <c r="D174" s="2">
        <f>'Assumed Literacy Rate'!F34</f>
        <v>60.833999999999996</v>
      </c>
    </row>
    <row r="175" spans="1:4" x14ac:dyDescent="0.3">
      <c r="A175" s="2" t="s">
        <v>34</v>
      </c>
      <c r="B175" s="2">
        <v>2005</v>
      </c>
      <c r="C175" s="6"/>
      <c r="D175" s="2">
        <f>'Assumed Literacy Rate'!F35</f>
        <v>74.5</v>
      </c>
    </row>
    <row r="176" spans="1:4" x14ac:dyDescent="0.3">
      <c r="A176" s="2" t="s">
        <v>35</v>
      </c>
      <c r="B176" s="2">
        <v>2005</v>
      </c>
      <c r="C176" s="6"/>
      <c r="D176" s="2">
        <f>'Assumed Literacy Rate'!F36</f>
        <v>71.688000000000002</v>
      </c>
    </row>
    <row r="177" spans="1:4" x14ac:dyDescent="0.3">
      <c r="A177" s="2" t="s">
        <v>0</v>
      </c>
      <c r="B177" s="2">
        <v>2006</v>
      </c>
      <c r="C177" s="6"/>
      <c r="D177" s="2">
        <f>'Assumed Literacy Rate'!G2</f>
        <v>83.965000000000003</v>
      </c>
    </row>
    <row r="178" spans="1:4" x14ac:dyDescent="0.3">
      <c r="A178" s="2" t="s">
        <v>1</v>
      </c>
      <c r="B178" s="2">
        <v>2006</v>
      </c>
      <c r="C178" s="6"/>
      <c r="D178" s="2">
        <f>'Assumed Literacy Rate'!G3</f>
        <v>63.745000000000005</v>
      </c>
    </row>
    <row r="179" spans="1:4" x14ac:dyDescent="0.3">
      <c r="A179" s="2" t="s">
        <v>3</v>
      </c>
      <c r="B179" s="2">
        <v>2006</v>
      </c>
      <c r="C179" s="6"/>
      <c r="D179" s="2">
        <f>'Assumed Literacy Rate'!G4</f>
        <v>59.864999999999988</v>
      </c>
    </row>
    <row r="180" spans="1:4" x14ac:dyDescent="0.3">
      <c r="A180" s="2" t="s">
        <v>4</v>
      </c>
      <c r="B180" s="2">
        <v>2006</v>
      </c>
      <c r="C180" s="6"/>
      <c r="D180" s="2">
        <f>'Assumed Literacy Rate'!G5</f>
        <v>67.720000000000027</v>
      </c>
    </row>
    <row r="181" spans="1:4" x14ac:dyDescent="0.3">
      <c r="A181" s="2" t="s">
        <v>5</v>
      </c>
      <c r="B181" s="2">
        <v>2006</v>
      </c>
      <c r="C181" s="6"/>
      <c r="D181" s="2">
        <f>'Assumed Literacy Rate'!G6</f>
        <v>54.399999999999984</v>
      </c>
    </row>
    <row r="182" spans="1:4" x14ac:dyDescent="0.3">
      <c r="A182" s="2" t="s">
        <v>6</v>
      </c>
      <c r="B182" s="2">
        <v>2006</v>
      </c>
      <c r="C182" s="6"/>
      <c r="D182" s="2">
        <f>'Assumed Literacy Rate'!G7</f>
        <v>83.995000000000005</v>
      </c>
    </row>
    <row r="183" spans="1:4" x14ac:dyDescent="0.3">
      <c r="A183" s="2" t="s">
        <v>7</v>
      </c>
      <c r="B183" s="2">
        <v>2006</v>
      </c>
      <c r="C183" s="6"/>
      <c r="D183" s="2">
        <f>'Assumed Literacy Rate'!G8</f>
        <v>67.469999999999985</v>
      </c>
    </row>
    <row r="184" spans="1:4" x14ac:dyDescent="0.3">
      <c r="A184" s="2" t="s">
        <v>8</v>
      </c>
      <c r="B184" s="2">
        <v>2006</v>
      </c>
      <c r="C184" s="6"/>
      <c r="D184" s="2">
        <f>'Assumed Literacy Rate'!G9</f>
        <v>66.935000000000002</v>
      </c>
    </row>
    <row r="185" spans="1:4" x14ac:dyDescent="0.3">
      <c r="A185" s="2" t="s">
        <v>9</v>
      </c>
      <c r="B185" s="2">
        <v>2006</v>
      </c>
      <c r="C185" s="6"/>
      <c r="D185" s="2">
        <f>'Assumed Literacy Rate'!G10</f>
        <v>82.639999999999986</v>
      </c>
    </row>
    <row r="186" spans="1:4" x14ac:dyDescent="0.3">
      <c r="A186" s="2" t="s">
        <v>10</v>
      </c>
      <c r="B186" s="2">
        <v>2006</v>
      </c>
      <c r="C186" s="6"/>
      <c r="D186" s="2">
        <f>'Assumed Literacy Rate'!G11</f>
        <v>83.939999999999969</v>
      </c>
    </row>
    <row r="187" spans="1:4" x14ac:dyDescent="0.3">
      <c r="A187" s="2" t="s">
        <v>11</v>
      </c>
      <c r="B187" s="2">
        <v>2006</v>
      </c>
      <c r="C187" s="6"/>
      <c r="D187" s="2">
        <f>'Assumed Literacy Rate'!G12</f>
        <v>85.35499999999999</v>
      </c>
    </row>
    <row r="188" spans="1:4" x14ac:dyDescent="0.3">
      <c r="A188" s="2" t="s">
        <v>12</v>
      </c>
      <c r="B188" s="2">
        <v>2006</v>
      </c>
      <c r="C188" s="6"/>
      <c r="D188" s="2">
        <f>'Assumed Literacy Rate'!G13</f>
        <v>73.58499999999998</v>
      </c>
    </row>
    <row r="189" spans="1:4" x14ac:dyDescent="0.3">
      <c r="A189" s="2" t="s">
        <v>13</v>
      </c>
      <c r="B189" s="2">
        <v>2006</v>
      </c>
      <c r="C189" s="6"/>
      <c r="D189" s="2">
        <f>'Assumed Literacy Rate'!G14</f>
        <v>71.729999999999976</v>
      </c>
    </row>
    <row r="190" spans="1:4" x14ac:dyDescent="0.3">
      <c r="A190" s="2" t="s">
        <v>14</v>
      </c>
      <c r="B190" s="2">
        <v>2006</v>
      </c>
      <c r="C190" s="6"/>
      <c r="D190" s="2">
        <f>'Assumed Literacy Rate'!G15</f>
        <v>79.640000000000029</v>
      </c>
    </row>
    <row r="191" spans="1:4" x14ac:dyDescent="0.3">
      <c r="A191" s="2" t="s">
        <v>15</v>
      </c>
      <c r="B191" s="2">
        <v>2006</v>
      </c>
      <c r="C191" s="6"/>
      <c r="D191" s="2">
        <f>'Assumed Literacy Rate'!G16</f>
        <v>61.340000000000011</v>
      </c>
    </row>
    <row r="192" spans="1:4" x14ac:dyDescent="0.3">
      <c r="A192" s="2" t="s">
        <v>16</v>
      </c>
      <c r="B192" s="2">
        <v>2006</v>
      </c>
      <c r="C192" s="6"/>
      <c r="D192" s="2">
        <f>'Assumed Literacy Rate'!G17</f>
        <v>59.984999999999985</v>
      </c>
    </row>
    <row r="193" spans="1:4" x14ac:dyDescent="0.3">
      <c r="A193" s="2" t="s">
        <v>17</v>
      </c>
      <c r="B193" s="2">
        <v>2006</v>
      </c>
      <c r="C193" s="6"/>
      <c r="D193" s="2">
        <f>'Assumed Literacy Rate'!G18</f>
        <v>70.984999999999971</v>
      </c>
    </row>
    <row r="194" spans="1:4" x14ac:dyDescent="0.3">
      <c r="A194" s="2" t="s">
        <v>18</v>
      </c>
      <c r="B194" s="2">
        <v>2006</v>
      </c>
      <c r="C194" s="6"/>
      <c r="D194" s="2">
        <f>'Assumed Literacy Rate'!G19</f>
        <v>92.429999999999978</v>
      </c>
    </row>
    <row r="195" spans="1:4" x14ac:dyDescent="0.3">
      <c r="A195" s="2" t="s">
        <v>19</v>
      </c>
      <c r="B195" s="2">
        <v>2006</v>
      </c>
      <c r="C195" s="6"/>
      <c r="D195" s="2">
        <f>'Assumed Literacy Rate'!G20</f>
        <v>89.255000000000024</v>
      </c>
    </row>
    <row r="196" spans="1:4" x14ac:dyDescent="0.3">
      <c r="A196" s="2" t="s">
        <v>20</v>
      </c>
      <c r="B196" s="2">
        <v>2006</v>
      </c>
      <c r="C196" s="6"/>
      <c r="D196" s="2">
        <f>'Assumed Literacy Rate'!G21</f>
        <v>66.529999999999973</v>
      </c>
    </row>
    <row r="197" spans="1:4" x14ac:dyDescent="0.3">
      <c r="A197" s="2" t="s">
        <v>21</v>
      </c>
      <c r="B197" s="2">
        <v>2006</v>
      </c>
      <c r="C197" s="6"/>
      <c r="D197" s="2">
        <f>'Assumed Literacy Rate'!G22</f>
        <v>79.610000000000028</v>
      </c>
    </row>
    <row r="198" spans="1:4" x14ac:dyDescent="0.3">
      <c r="A198" s="2" t="s">
        <v>22</v>
      </c>
      <c r="B198" s="2">
        <v>2006</v>
      </c>
      <c r="C198" s="6"/>
      <c r="D198" s="2">
        <f>'Assumed Literacy Rate'!G23</f>
        <v>74.850000000000023</v>
      </c>
    </row>
    <row r="199" spans="1:4" x14ac:dyDescent="0.3">
      <c r="A199" s="2" t="s">
        <v>23</v>
      </c>
      <c r="B199" s="2">
        <v>2006</v>
      </c>
      <c r="C199" s="6"/>
      <c r="D199" s="2">
        <f>'Assumed Literacy Rate'!G24</f>
        <v>68.49499999999999</v>
      </c>
    </row>
    <row r="200" spans="1:4" x14ac:dyDescent="0.3">
      <c r="A200" s="2" t="s">
        <v>24</v>
      </c>
      <c r="B200" s="2">
        <v>2006</v>
      </c>
      <c r="C200" s="6"/>
      <c r="D200" s="2">
        <f>'Assumed Literacy Rate'!G25</f>
        <v>90.064999999999998</v>
      </c>
    </row>
    <row r="201" spans="1:4" x14ac:dyDescent="0.3">
      <c r="A201" s="2" t="s">
        <v>25</v>
      </c>
      <c r="B201" s="2">
        <v>2006</v>
      </c>
      <c r="C201" s="6"/>
      <c r="D201" s="2">
        <f>'Assumed Literacy Rate'!G26</f>
        <v>73.095000000000013</v>
      </c>
    </row>
    <row r="202" spans="1:4" x14ac:dyDescent="0.3">
      <c r="A202" s="2" t="s">
        <v>26</v>
      </c>
      <c r="B202" s="2">
        <v>2006</v>
      </c>
      <c r="C202" s="6"/>
      <c r="D202" s="2">
        <f>'Assumed Literacy Rate'!G27</f>
        <v>67.984999999999971</v>
      </c>
    </row>
    <row r="203" spans="1:4" x14ac:dyDescent="0.3">
      <c r="A203" s="2" t="s">
        <v>27</v>
      </c>
      <c r="B203" s="2">
        <v>2006</v>
      </c>
      <c r="C203" s="6"/>
      <c r="D203" s="2">
        <f>'Assumed Literacy Rate'!G28</f>
        <v>83.544999999999987</v>
      </c>
    </row>
    <row r="204" spans="1:4" x14ac:dyDescent="0.3">
      <c r="A204" s="2" t="s">
        <v>28</v>
      </c>
      <c r="B204" s="2">
        <v>2006</v>
      </c>
      <c r="C204" s="6"/>
      <c r="D204" s="2">
        <f>'Assumed Literacy Rate'!G29</f>
        <v>72.745000000000005</v>
      </c>
    </row>
    <row r="205" spans="1:4" x14ac:dyDescent="0.3">
      <c r="A205" s="2" t="s">
        <v>29</v>
      </c>
      <c r="B205" s="2">
        <v>2006</v>
      </c>
      <c r="C205" s="6"/>
      <c r="D205" s="2">
        <f>'Assumed Literacy Rate'!G30</f>
        <v>63.26</v>
      </c>
    </row>
    <row r="206" spans="1:4" x14ac:dyDescent="0.3">
      <c r="A206" s="2" t="s">
        <v>30</v>
      </c>
      <c r="B206" s="2">
        <v>2006</v>
      </c>
      <c r="C206" s="6"/>
      <c r="D206" s="2">
        <f>'Assumed Literacy Rate'!G31</f>
        <v>75.114999999999981</v>
      </c>
    </row>
    <row r="207" spans="1:4" x14ac:dyDescent="0.3">
      <c r="A207" s="2" t="s">
        <v>31</v>
      </c>
      <c r="B207" s="2">
        <v>2006</v>
      </c>
      <c r="C207" s="6"/>
      <c r="D207" s="2">
        <f>'Assumed Literacy Rate'!G32</f>
        <v>76.77000000000001</v>
      </c>
    </row>
    <row r="208" spans="1:4" x14ac:dyDescent="0.3">
      <c r="A208" s="2" t="s">
        <v>32</v>
      </c>
      <c r="B208" s="2">
        <v>2006</v>
      </c>
      <c r="C208" s="6"/>
      <c r="D208" s="2">
        <f>'Assumed Literacy Rate'!G33</f>
        <v>80.205000000000027</v>
      </c>
    </row>
    <row r="209" spans="1:4" x14ac:dyDescent="0.3">
      <c r="A209" s="2" t="s">
        <v>33</v>
      </c>
      <c r="B209" s="2">
        <v>2006</v>
      </c>
      <c r="C209" s="6"/>
      <c r="D209" s="2">
        <f>'Assumed Literacy Rate'!G34</f>
        <v>61.974999999999994</v>
      </c>
    </row>
    <row r="210" spans="1:4" x14ac:dyDescent="0.3">
      <c r="A210" s="2" t="s">
        <v>34</v>
      </c>
      <c r="B210" s="2">
        <v>2006</v>
      </c>
      <c r="C210" s="6"/>
      <c r="D210" s="2">
        <f>'Assumed Literacy Rate'!G35</f>
        <v>75.22</v>
      </c>
    </row>
    <row r="211" spans="1:4" x14ac:dyDescent="0.3">
      <c r="A211" s="2" t="s">
        <v>35</v>
      </c>
      <c r="B211" s="2">
        <v>2006</v>
      </c>
      <c r="C211" s="6"/>
      <c r="D211" s="2">
        <f>'Assumed Literacy Rate'!G36</f>
        <v>72.45</v>
      </c>
    </row>
    <row r="212" spans="1:4" x14ac:dyDescent="0.3">
      <c r="A212" s="2" t="s">
        <v>0</v>
      </c>
      <c r="B212" s="2">
        <v>2007</v>
      </c>
      <c r="C212" s="2"/>
      <c r="D212" s="2">
        <f>'Assumed Literacy Rate'!H2</f>
        <v>84.498000000000005</v>
      </c>
    </row>
    <row r="213" spans="1:4" x14ac:dyDescent="0.3">
      <c r="A213" s="2" t="s">
        <v>1</v>
      </c>
      <c r="B213" s="2">
        <v>2007</v>
      </c>
      <c r="C213" s="2"/>
      <c r="D213" s="2">
        <f>'Assumed Literacy Rate'!H3</f>
        <v>64.400000000000006</v>
      </c>
    </row>
    <row r="214" spans="1:4" x14ac:dyDescent="0.3">
      <c r="A214" s="2" t="s">
        <v>3</v>
      </c>
      <c r="B214" s="2">
        <v>2007</v>
      </c>
      <c r="C214" s="2"/>
      <c r="D214" s="2">
        <f>'Assumed Literacy Rate'!H4</f>
        <v>60.969999999999985</v>
      </c>
    </row>
    <row r="215" spans="1:4" x14ac:dyDescent="0.3">
      <c r="A215" s="2" t="s">
        <v>4</v>
      </c>
      <c r="B215" s="2">
        <v>2007</v>
      </c>
      <c r="C215" s="2"/>
      <c r="D215" s="2">
        <f>'Assumed Literacy Rate'!H5</f>
        <v>68.614000000000033</v>
      </c>
    </row>
    <row r="216" spans="1:4" x14ac:dyDescent="0.3">
      <c r="A216" s="2" t="s">
        <v>5</v>
      </c>
      <c r="B216" s="2">
        <v>2007</v>
      </c>
      <c r="C216" s="2"/>
      <c r="D216" s="2">
        <f>'Assumed Literacy Rate'!H6</f>
        <v>55.879999999999981</v>
      </c>
    </row>
    <row r="217" spans="1:4" x14ac:dyDescent="0.3">
      <c r="A217" s="2" t="s">
        <v>6</v>
      </c>
      <c r="B217" s="2">
        <v>2007</v>
      </c>
      <c r="C217" s="2"/>
      <c r="D217" s="2">
        <f>'Assumed Literacy Rate'!H7</f>
        <v>84.406000000000006</v>
      </c>
    </row>
    <row r="218" spans="1:4" x14ac:dyDescent="0.3">
      <c r="A218" s="2" t="s">
        <v>7</v>
      </c>
      <c r="B218" s="2">
        <v>2007</v>
      </c>
      <c r="C218" s="2"/>
      <c r="D218" s="2">
        <f>'Assumed Literacy Rate'!H8</f>
        <v>68.031999999999982</v>
      </c>
    </row>
    <row r="219" spans="1:4" x14ac:dyDescent="0.3">
      <c r="A219" s="2" t="s">
        <v>8</v>
      </c>
      <c r="B219" s="2">
        <v>2007</v>
      </c>
      <c r="C219" s="2"/>
      <c r="D219" s="2">
        <f>'Assumed Literacy Rate'!H9</f>
        <v>68.796000000000006</v>
      </c>
    </row>
    <row r="220" spans="1:4" x14ac:dyDescent="0.3">
      <c r="A220" s="2" t="s">
        <v>9</v>
      </c>
      <c r="B220" s="2">
        <v>2007</v>
      </c>
      <c r="C220" s="2"/>
      <c r="D220" s="2">
        <f>'Assumed Literacy Rate'!H10</f>
        <v>83.531999999999982</v>
      </c>
    </row>
    <row r="221" spans="1:4" x14ac:dyDescent="0.3">
      <c r="A221" s="2" t="s">
        <v>10</v>
      </c>
      <c r="B221" s="2">
        <v>2007</v>
      </c>
      <c r="C221" s="2"/>
      <c r="D221" s="2">
        <f>'Assumed Literacy Rate'!H11</f>
        <v>84.393999999999963</v>
      </c>
    </row>
    <row r="222" spans="1:4" x14ac:dyDescent="0.3">
      <c r="A222" s="2" t="s">
        <v>11</v>
      </c>
      <c r="B222" s="2">
        <v>2007</v>
      </c>
      <c r="C222" s="2"/>
      <c r="D222" s="2">
        <f>'Assumed Literacy Rate'!H12</f>
        <v>86.023999999999987</v>
      </c>
    </row>
    <row r="223" spans="1:4" x14ac:dyDescent="0.3">
      <c r="A223" s="2" t="s">
        <v>12</v>
      </c>
      <c r="B223" s="2">
        <v>2007</v>
      </c>
      <c r="C223" s="2"/>
      <c r="D223" s="2">
        <f>'Assumed Literacy Rate'!H13</f>
        <v>74.473999999999975</v>
      </c>
    </row>
    <row r="224" spans="1:4" x14ac:dyDescent="0.3">
      <c r="A224" s="2" t="s">
        <v>13</v>
      </c>
      <c r="B224" s="2">
        <v>2007</v>
      </c>
      <c r="C224" s="2"/>
      <c r="D224" s="2">
        <f>'Assumed Literacy Rate'!H14</f>
        <v>72.493999999999971</v>
      </c>
    </row>
    <row r="225" spans="1:4" x14ac:dyDescent="0.3">
      <c r="A225" s="2" t="s">
        <v>14</v>
      </c>
      <c r="B225" s="2">
        <v>2007</v>
      </c>
      <c r="C225" s="2"/>
      <c r="D225" s="2">
        <f>'Assumed Literacy Rate'!H15</f>
        <v>80.272000000000034</v>
      </c>
    </row>
    <row r="226" spans="1:4" x14ac:dyDescent="0.3">
      <c r="A226" s="2" t="s">
        <v>15</v>
      </c>
      <c r="B226" s="2">
        <v>2007</v>
      </c>
      <c r="C226" s="2"/>
      <c r="D226" s="2">
        <f>'Assumed Literacy Rate'!H16</f>
        <v>62.504000000000012</v>
      </c>
    </row>
    <row r="227" spans="1:4" x14ac:dyDescent="0.3">
      <c r="A227" s="2" t="s">
        <v>16</v>
      </c>
      <c r="B227" s="2">
        <v>2007</v>
      </c>
      <c r="C227" s="2"/>
      <c r="D227" s="2">
        <f>'Assumed Literacy Rate'!H17</f>
        <v>61.269999999999982</v>
      </c>
    </row>
    <row r="228" spans="1:4" x14ac:dyDescent="0.3">
      <c r="A228" s="2" t="s">
        <v>17</v>
      </c>
      <c r="B228" s="2">
        <v>2007</v>
      </c>
      <c r="C228" s="2"/>
      <c r="D228" s="2">
        <f>'Assumed Literacy Rate'!H18</f>
        <v>71.861999999999966</v>
      </c>
    </row>
    <row r="229" spans="1:4" x14ac:dyDescent="0.3">
      <c r="A229" s="2" t="s">
        <v>18</v>
      </c>
      <c r="B229" s="2">
        <v>2007</v>
      </c>
      <c r="C229" s="2"/>
      <c r="D229" s="2">
        <f>'Assumed Literacy Rate'!H19</f>
        <v>92.743999999999971</v>
      </c>
    </row>
    <row r="230" spans="1:4" x14ac:dyDescent="0.3">
      <c r="A230" s="2" t="s">
        <v>19</v>
      </c>
      <c r="B230" s="2">
        <v>2007</v>
      </c>
      <c r="C230" s="2"/>
      <c r="D230" s="2">
        <f>'Assumed Literacy Rate'!H20</f>
        <v>89.774000000000029</v>
      </c>
    </row>
    <row r="231" spans="1:4" x14ac:dyDescent="0.3">
      <c r="A231" s="2" t="s">
        <v>20</v>
      </c>
      <c r="B231" s="2">
        <v>2007</v>
      </c>
      <c r="C231" s="2"/>
      <c r="D231" s="2">
        <f>'Assumed Literacy Rate'!H21</f>
        <v>67.087999999999965</v>
      </c>
    </row>
    <row r="232" spans="1:4" x14ac:dyDescent="0.3">
      <c r="A232" s="2" t="s">
        <v>21</v>
      </c>
      <c r="B232" s="2">
        <v>2007</v>
      </c>
      <c r="C232" s="2"/>
      <c r="D232" s="2">
        <f>'Assumed Literacy Rate'!H22</f>
        <v>80.156000000000034</v>
      </c>
    </row>
    <row r="233" spans="1:4" x14ac:dyDescent="0.3">
      <c r="A233" s="2" t="s">
        <v>22</v>
      </c>
      <c r="B233" s="2">
        <v>2007</v>
      </c>
      <c r="C233" s="2"/>
      <c r="D233" s="2">
        <f>'Assumed Literacy Rate'!H23</f>
        <v>75.720000000000027</v>
      </c>
    </row>
    <row r="234" spans="1:4" x14ac:dyDescent="0.3">
      <c r="A234" s="2" t="s">
        <v>23</v>
      </c>
      <c r="B234" s="2">
        <v>2007</v>
      </c>
      <c r="C234" s="2"/>
      <c r="D234" s="2">
        <f>'Assumed Literacy Rate'!H24</f>
        <v>69.681999999999988</v>
      </c>
    </row>
    <row r="235" spans="1:4" x14ac:dyDescent="0.3">
      <c r="A235" s="2" t="s">
        <v>24</v>
      </c>
      <c r="B235" s="2">
        <v>2007</v>
      </c>
      <c r="C235" s="2"/>
      <c r="D235" s="2">
        <f>'Assumed Literacy Rate'!H25</f>
        <v>90.317999999999998</v>
      </c>
    </row>
    <row r="236" spans="1:4" x14ac:dyDescent="0.3">
      <c r="A236" s="2" t="s">
        <v>25</v>
      </c>
      <c r="B236" s="2">
        <v>2007</v>
      </c>
      <c r="C236" s="2"/>
      <c r="D236" s="2">
        <f>'Assumed Literacy Rate'!H26</f>
        <v>74.396000000000015</v>
      </c>
    </row>
    <row r="237" spans="1:4" x14ac:dyDescent="0.3">
      <c r="A237" s="2" t="s">
        <v>26</v>
      </c>
      <c r="B237" s="2">
        <v>2007</v>
      </c>
      <c r="C237" s="2"/>
      <c r="D237" s="2">
        <f>'Assumed Literacy Rate'!H27</f>
        <v>68.965999999999966</v>
      </c>
    </row>
    <row r="238" spans="1:4" x14ac:dyDescent="0.3">
      <c r="A238" s="2" t="s">
        <v>27</v>
      </c>
      <c r="B238" s="2">
        <v>2007</v>
      </c>
      <c r="C238" s="2"/>
      <c r="D238" s="2">
        <f>'Assumed Literacy Rate'!H28</f>
        <v>84.005999999999986</v>
      </c>
    </row>
    <row r="239" spans="1:4" x14ac:dyDescent="0.3">
      <c r="A239" s="2" t="s">
        <v>28</v>
      </c>
      <c r="B239" s="2">
        <v>2007</v>
      </c>
      <c r="C239" s="2"/>
      <c r="D239" s="2">
        <f>'Assumed Literacy Rate'!H29</f>
        <v>73.364000000000004</v>
      </c>
    </row>
    <row r="240" spans="1:4" x14ac:dyDescent="0.3">
      <c r="A240" s="2" t="s">
        <v>29</v>
      </c>
      <c r="B240" s="2">
        <v>2007</v>
      </c>
      <c r="C240" s="2"/>
      <c r="D240" s="2">
        <f>'Assumed Literacy Rate'!H30</f>
        <v>63.83</v>
      </c>
    </row>
    <row r="241" spans="1:4" x14ac:dyDescent="0.3">
      <c r="A241" s="2" t="s">
        <v>30</v>
      </c>
      <c r="B241" s="2">
        <v>2007</v>
      </c>
      <c r="C241" s="2"/>
      <c r="D241" s="2">
        <f>'Assumed Literacy Rate'!H31</f>
        <v>76.375999999999976</v>
      </c>
    </row>
    <row r="242" spans="1:4" x14ac:dyDescent="0.3">
      <c r="A242" s="2" t="s">
        <v>31</v>
      </c>
      <c r="B242" s="2">
        <v>2007</v>
      </c>
      <c r="C242" s="2"/>
      <c r="D242" s="2">
        <f>'Assumed Literacy Rate'!H32</f>
        <v>77.434000000000012</v>
      </c>
    </row>
    <row r="243" spans="1:4" x14ac:dyDescent="0.3">
      <c r="A243" s="2" t="s">
        <v>32</v>
      </c>
      <c r="B243" s="2">
        <v>2007</v>
      </c>
      <c r="C243" s="2"/>
      <c r="D243" s="2">
        <f>'Assumed Literacy Rate'!H33</f>
        <v>81.608000000000033</v>
      </c>
    </row>
    <row r="244" spans="1:4" x14ac:dyDescent="0.3">
      <c r="A244" s="2" t="s">
        <v>33</v>
      </c>
      <c r="B244" s="2">
        <v>2007</v>
      </c>
      <c r="C244" s="2"/>
      <c r="D244" s="2">
        <f>'Assumed Literacy Rate'!H34</f>
        <v>63.115999999999993</v>
      </c>
    </row>
    <row r="245" spans="1:4" x14ac:dyDescent="0.3">
      <c r="A245" s="2" t="s">
        <v>34</v>
      </c>
      <c r="B245" s="2">
        <v>2007</v>
      </c>
      <c r="C245" s="2"/>
      <c r="D245" s="2">
        <f>'Assumed Literacy Rate'!H35</f>
        <v>75.94</v>
      </c>
    </row>
    <row r="246" spans="1:4" x14ac:dyDescent="0.3">
      <c r="A246" s="2" t="s">
        <v>35</v>
      </c>
      <c r="B246" s="2">
        <v>2007</v>
      </c>
      <c r="C246" s="2"/>
      <c r="D246" s="2">
        <f>'Assumed Literacy Rate'!H36</f>
        <v>73.212000000000003</v>
      </c>
    </row>
    <row r="247" spans="1:4" x14ac:dyDescent="0.3">
      <c r="A247" s="2" t="s">
        <v>0</v>
      </c>
      <c r="B247" s="2">
        <v>2008</v>
      </c>
      <c r="C247" s="2"/>
      <c r="D247" s="2">
        <f>'Assumed Literacy Rate'!I2</f>
        <v>85.031000000000006</v>
      </c>
    </row>
    <row r="248" spans="1:4" x14ac:dyDescent="0.3">
      <c r="A248" s="2" t="s">
        <v>1</v>
      </c>
      <c r="B248" s="2">
        <v>2008</v>
      </c>
      <c r="C248" s="2"/>
      <c r="D248" s="2">
        <f>'Assumed Literacy Rate'!I3</f>
        <v>65.055000000000007</v>
      </c>
    </row>
    <row r="249" spans="1:4" x14ac:dyDescent="0.3">
      <c r="A249" s="2" t="s">
        <v>3</v>
      </c>
      <c r="B249" s="2">
        <v>2008</v>
      </c>
      <c r="C249" s="2"/>
      <c r="D249" s="2">
        <f>'Assumed Literacy Rate'!I4</f>
        <v>62.074999999999982</v>
      </c>
    </row>
    <row r="250" spans="1:4" x14ac:dyDescent="0.3">
      <c r="A250" s="2" t="s">
        <v>4</v>
      </c>
      <c r="B250" s="2">
        <v>2008</v>
      </c>
      <c r="C250" s="2"/>
      <c r="D250" s="2">
        <f>'Assumed Literacy Rate'!I5</f>
        <v>69.508000000000038</v>
      </c>
    </row>
    <row r="251" spans="1:4" x14ac:dyDescent="0.3">
      <c r="A251" s="2" t="s">
        <v>5</v>
      </c>
      <c r="B251" s="2">
        <v>2008</v>
      </c>
      <c r="C251" s="2"/>
      <c r="D251" s="2">
        <f>'Assumed Literacy Rate'!I6</f>
        <v>57.359999999999978</v>
      </c>
    </row>
    <row r="252" spans="1:4" x14ac:dyDescent="0.3">
      <c r="A252" s="2" t="s">
        <v>6</v>
      </c>
      <c r="B252" s="2">
        <v>2008</v>
      </c>
      <c r="C252" s="2"/>
      <c r="D252" s="2">
        <f>'Assumed Literacy Rate'!I7</f>
        <v>84.817000000000007</v>
      </c>
    </row>
    <row r="253" spans="1:4" x14ac:dyDescent="0.3">
      <c r="A253" s="2" t="s">
        <v>7</v>
      </c>
      <c r="B253" s="2">
        <v>2008</v>
      </c>
      <c r="C253" s="2"/>
      <c r="D253" s="2">
        <f>'Assumed Literacy Rate'!I8</f>
        <v>68.59399999999998</v>
      </c>
    </row>
    <row r="254" spans="1:4" x14ac:dyDescent="0.3">
      <c r="A254" s="2" t="s">
        <v>8</v>
      </c>
      <c r="B254" s="2">
        <v>2008</v>
      </c>
      <c r="C254" s="2"/>
      <c r="D254" s="2">
        <f>'Assumed Literacy Rate'!I9</f>
        <v>70.657000000000011</v>
      </c>
    </row>
    <row r="255" spans="1:4" x14ac:dyDescent="0.3">
      <c r="A255" s="2" t="s">
        <v>9</v>
      </c>
      <c r="B255" s="2">
        <v>2008</v>
      </c>
      <c r="C255" s="2"/>
      <c r="D255" s="2">
        <f>'Assumed Literacy Rate'!I10</f>
        <v>84.423999999999978</v>
      </c>
    </row>
    <row r="256" spans="1:4" x14ac:dyDescent="0.3">
      <c r="A256" s="2" t="s">
        <v>10</v>
      </c>
      <c r="B256" s="2">
        <v>2008</v>
      </c>
      <c r="C256" s="2"/>
      <c r="D256" s="2">
        <f>'Assumed Literacy Rate'!I11</f>
        <v>84.847999999999956</v>
      </c>
    </row>
    <row r="257" spans="1:4" x14ac:dyDescent="0.3">
      <c r="A257" s="2" t="s">
        <v>11</v>
      </c>
      <c r="B257" s="2">
        <v>2008</v>
      </c>
      <c r="C257" s="2"/>
      <c r="D257" s="2">
        <f>'Assumed Literacy Rate'!I12</f>
        <v>86.692999999999984</v>
      </c>
    </row>
    <row r="258" spans="1:4" x14ac:dyDescent="0.3">
      <c r="A258" s="2" t="s">
        <v>12</v>
      </c>
      <c r="B258" s="2">
        <v>2008</v>
      </c>
      <c r="C258" s="2"/>
      <c r="D258" s="2">
        <f>'Assumed Literacy Rate'!I13</f>
        <v>75.362999999999971</v>
      </c>
    </row>
    <row r="259" spans="1:4" x14ac:dyDescent="0.3">
      <c r="A259" s="2" t="s">
        <v>13</v>
      </c>
      <c r="B259" s="2">
        <v>2008</v>
      </c>
      <c r="C259" s="2"/>
      <c r="D259" s="2">
        <f>'Assumed Literacy Rate'!I14</f>
        <v>73.257999999999967</v>
      </c>
    </row>
    <row r="260" spans="1:4" x14ac:dyDescent="0.3">
      <c r="A260" s="2" t="s">
        <v>14</v>
      </c>
      <c r="B260" s="2">
        <v>2008</v>
      </c>
      <c r="C260" s="2"/>
      <c r="D260" s="2">
        <f>'Assumed Literacy Rate'!I15</f>
        <v>80.904000000000039</v>
      </c>
    </row>
    <row r="261" spans="1:4" x14ac:dyDescent="0.3">
      <c r="A261" s="2" t="s">
        <v>15</v>
      </c>
      <c r="B261" s="2">
        <v>2008</v>
      </c>
      <c r="C261" s="2"/>
      <c r="D261" s="2">
        <f>'Assumed Literacy Rate'!I16</f>
        <v>63.668000000000013</v>
      </c>
    </row>
    <row r="262" spans="1:4" x14ac:dyDescent="0.3">
      <c r="A262" s="2" t="s">
        <v>16</v>
      </c>
      <c r="B262" s="2">
        <v>2008</v>
      </c>
      <c r="C262" s="2"/>
      <c r="D262" s="2">
        <f>'Assumed Literacy Rate'!I17</f>
        <v>62.554999999999978</v>
      </c>
    </row>
    <row r="263" spans="1:4" x14ac:dyDescent="0.3">
      <c r="A263" s="2" t="s">
        <v>17</v>
      </c>
      <c r="B263" s="2">
        <v>2008</v>
      </c>
      <c r="C263" s="2"/>
      <c r="D263" s="2">
        <f>'Assumed Literacy Rate'!I18</f>
        <v>72.738999999999962</v>
      </c>
    </row>
    <row r="264" spans="1:4" x14ac:dyDescent="0.3">
      <c r="A264" s="2" t="s">
        <v>18</v>
      </c>
      <c r="B264" s="2">
        <v>2008</v>
      </c>
      <c r="C264" s="2"/>
      <c r="D264" s="2">
        <f>'Assumed Literacy Rate'!I19</f>
        <v>93.057999999999964</v>
      </c>
    </row>
    <row r="265" spans="1:4" x14ac:dyDescent="0.3">
      <c r="A265" s="2" t="s">
        <v>19</v>
      </c>
      <c r="B265" s="2">
        <v>2008</v>
      </c>
      <c r="C265" s="2"/>
      <c r="D265" s="2">
        <f>'Assumed Literacy Rate'!I20</f>
        <v>90.293000000000035</v>
      </c>
    </row>
    <row r="266" spans="1:4" x14ac:dyDescent="0.3">
      <c r="A266" s="2" t="s">
        <v>20</v>
      </c>
      <c r="B266" s="2">
        <v>2008</v>
      </c>
      <c r="C266" s="2"/>
      <c r="D266" s="2">
        <f>'Assumed Literacy Rate'!I21</f>
        <v>67.645999999999958</v>
      </c>
    </row>
    <row r="267" spans="1:4" x14ac:dyDescent="0.3">
      <c r="A267" s="2" t="s">
        <v>21</v>
      </c>
      <c r="B267" s="2">
        <v>2008</v>
      </c>
      <c r="C267" s="2"/>
      <c r="D267" s="2">
        <f>'Assumed Literacy Rate'!I22</f>
        <v>80.702000000000041</v>
      </c>
    </row>
    <row r="268" spans="1:4" x14ac:dyDescent="0.3">
      <c r="A268" s="2" t="s">
        <v>22</v>
      </c>
      <c r="B268" s="2">
        <v>2008</v>
      </c>
      <c r="C268" s="2"/>
      <c r="D268" s="2">
        <f>'Assumed Literacy Rate'!I23</f>
        <v>76.590000000000032</v>
      </c>
    </row>
    <row r="269" spans="1:4" x14ac:dyDescent="0.3">
      <c r="A269" s="2" t="s">
        <v>23</v>
      </c>
      <c r="B269" s="2">
        <v>2008</v>
      </c>
      <c r="C269" s="2"/>
      <c r="D269" s="2">
        <f>'Assumed Literacy Rate'!I24</f>
        <v>70.868999999999986</v>
      </c>
    </row>
    <row r="270" spans="1:4" x14ac:dyDescent="0.3">
      <c r="A270" s="2" t="s">
        <v>24</v>
      </c>
      <c r="B270" s="2">
        <v>2008</v>
      </c>
      <c r="C270" s="2"/>
      <c r="D270" s="2">
        <f>'Assumed Literacy Rate'!I25</f>
        <v>90.570999999999998</v>
      </c>
    </row>
    <row r="271" spans="1:4" x14ac:dyDescent="0.3">
      <c r="A271" s="2" t="s">
        <v>25</v>
      </c>
      <c r="B271" s="2">
        <v>2008</v>
      </c>
      <c r="C271" s="2"/>
      <c r="D271" s="2">
        <f>'Assumed Literacy Rate'!I26</f>
        <v>75.697000000000017</v>
      </c>
    </row>
    <row r="272" spans="1:4" x14ac:dyDescent="0.3">
      <c r="A272" s="2" t="s">
        <v>26</v>
      </c>
      <c r="B272" s="2">
        <v>2008</v>
      </c>
      <c r="C272" s="2"/>
      <c r="D272" s="2">
        <f>'Assumed Literacy Rate'!I27</f>
        <v>69.94699999999996</v>
      </c>
    </row>
    <row r="273" spans="1:4" x14ac:dyDescent="0.3">
      <c r="A273" s="2" t="s">
        <v>27</v>
      </c>
      <c r="B273" s="2">
        <v>2008</v>
      </c>
      <c r="C273" s="2"/>
      <c r="D273" s="2">
        <f>'Assumed Literacy Rate'!I28</f>
        <v>84.466999999999985</v>
      </c>
    </row>
    <row r="274" spans="1:4" x14ac:dyDescent="0.3">
      <c r="A274" s="2" t="s">
        <v>28</v>
      </c>
      <c r="B274" s="2">
        <v>2008</v>
      </c>
      <c r="C274" s="2"/>
      <c r="D274" s="2">
        <f>'Assumed Literacy Rate'!I29</f>
        <v>73.983000000000004</v>
      </c>
    </row>
    <row r="275" spans="1:4" x14ac:dyDescent="0.3">
      <c r="A275" s="2" t="s">
        <v>29</v>
      </c>
      <c r="B275" s="2">
        <v>2008</v>
      </c>
      <c r="C275" s="2"/>
      <c r="D275" s="2">
        <f>'Assumed Literacy Rate'!I30</f>
        <v>64.400000000000006</v>
      </c>
    </row>
    <row r="276" spans="1:4" x14ac:dyDescent="0.3">
      <c r="A276" s="2" t="s">
        <v>30</v>
      </c>
      <c r="B276" s="2">
        <v>2008</v>
      </c>
      <c r="C276" s="2"/>
      <c r="D276" s="2">
        <f>'Assumed Literacy Rate'!I31</f>
        <v>77.636999999999972</v>
      </c>
    </row>
    <row r="277" spans="1:4" x14ac:dyDescent="0.3">
      <c r="A277" s="2" t="s">
        <v>31</v>
      </c>
      <c r="B277" s="2">
        <v>2008</v>
      </c>
      <c r="C277" s="2"/>
      <c r="D277" s="2">
        <f>'Assumed Literacy Rate'!I32</f>
        <v>78.098000000000013</v>
      </c>
    </row>
    <row r="278" spans="1:4" x14ac:dyDescent="0.3">
      <c r="A278" s="2" t="s">
        <v>32</v>
      </c>
      <c r="B278" s="2">
        <v>2008</v>
      </c>
      <c r="C278" s="2"/>
      <c r="D278" s="2">
        <f>'Assumed Literacy Rate'!I33</f>
        <v>83.011000000000038</v>
      </c>
    </row>
    <row r="279" spans="1:4" x14ac:dyDescent="0.3">
      <c r="A279" s="2" t="s">
        <v>33</v>
      </c>
      <c r="B279" s="2">
        <v>2008</v>
      </c>
      <c r="C279" s="2"/>
      <c r="D279" s="2">
        <f>'Assumed Literacy Rate'!I34</f>
        <v>64.256999999999991</v>
      </c>
    </row>
    <row r="280" spans="1:4" x14ac:dyDescent="0.3">
      <c r="A280" s="2" t="s">
        <v>34</v>
      </c>
      <c r="B280" s="2">
        <v>2008</v>
      </c>
      <c r="C280" s="2"/>
      <c r="D280" s="2">
        <f>'Assumed Literacy Rate'!I35</f>
        <v>76.66</v>
      </c>
    </row>
    <row r="281" spans="1:4" x14ac:dyDescent="0.3">
      <c r="A281" s="2" t="s">
        <v>35</v>
      </c>
      <c r="B281" s="2">
        <v>2008</v>
      </c>
      <c r="C281" s="2"/>
      <c r="D281" s="2">
        <f>'Assumed Literacy Rate'!I36</f>
        <v>73.974000000000004</v>
      </c>
    </row>
    <row r="282" spans="1:4" x14ac:dyDescent="0.3">
      <c r="A282" s="2" t="s">
        <v>0</v>
      </c>
      <c r="B282" s="2">
        <v>2009</v>
      </c>
      <c r="C282" s="2"/>
      <c r="D282" s="2">
        <f>'Assumed Literacy Rate'!J2</f>
        <v>85.564000000000007</v>
      </c>
    </row>
    <row r="283" spans="1:4" x14ac:dyDescent="0.3">
      <c r="A283" s="2" t="s">
        <v>1</v>
      </c>
      <c r="B283" s="2">
        <v>2009</v>
      </c>
      <c r="C283" s="2"/>
      <c r="D283" s="2">
        <f>'Assumed Literacy Rate'!J3</f>
        <v>65.710000000000008</v>
      </c>
    </row>
    <row r="284" spans="1:4" x14ac:dyDescent="0.3">
      <c r="A284" s="2" t="s">
        <v>3</v>
      </c>
      <c r="B284" s="2">
        <v>2009</v>
      </c>
      <c r="C284" s="2"/>
      <c r="D284" s="2">
        <f>'Assumed Literacy Rate'!J4</f>
        <v>63.179999999999978</v>
      </c>
    </row>
    <row r="285" spans="1:4" x14ac:dyDescent="0.3">
      <c r="A285" s="2" t="s">
        <v>4</v>
      </c>
      <c r="B285" s="2">
        <v>2009</v>
      </c>
      <c r="C285" s="2"/>
      <c r="D285" s="2">
        <f>'Assumed Literacy Rate'!J5</f>
        <v>70.402000000000044</v>
      </c>
    </row>
    <row r="286" spans="1:4" x14ac:dyDescent="0.3">
      <c r="A286" s="2" t="s">
        <v>5</v>
      </c>
      <c r="B286" s="2">
        <v>2009</v>
      </c>
      <c r="C286" s="2"/>
      <c r="D286" s="2">
        <f>'Assumed Literacy Rate'!J6</f>
        <v>58.839999999999975</v>
      </c>
    </row>
    <row r="287" spans="1:4" x14ac:dyDescent="0.3">
      <c r="A287" s="2" t="s">
        <v>6</v>
      </c>
      <c r="B287" s="2">
        <v>2009</v>
      </c>
      <c r="C287" s="2"/>
      <c r="D287" s="2">
        <f>'Assumed Literacy Rate'!J7</f>
        <v>85.228000000000009</v>
      </c>
    </row>
    <row r="288" spans="1:4" x14ac:dyDescent="0.3">
      <c r="A288" s="2" t="s">
        <v>7</v>
      </c>
      <c r="B288" s="2">
        <v>2009</v>
      </c>
      <c r="C288" s="2"/>
      <c r="D288" s="2">
        <f>'Assumed Literacy Rate'!J8</f>
        <v>69.155999999999977</v>
      </c>
    </row>
    <row r="289" spans="1:4" x14ac:dyDescent="0.3">
      <c r="A289" s="2" t="s">
        <v>8</v>
      </c>
      <c r="B289" s="2">
        <v>2009</v>
      </c>
      <c r="C289" s="2"/>
      <c r="D289" s="2">
        <f>'Assumed Literacy Rate'!J9</f>
        <v>72.518000000000015</v>
      </c>
    </row>
    <row r="290" spans="1:4" x14ac:dyDescent="0.3">
      <c r="A290" s="2" t="s">
        <v>9</v>
      </c>
      <c r="B290" s="2">
        <v>2009</v>
      </c>
      <c r="C290" s="2"/>
      <c r="D290" s="2">
        <f>'Assumed Literacy Rate'!J10</f>
        <v>85.315999999999974</v>
      </c>
    </row>
    <row r="291" spans="1:4" x14ac:dyDescent="0.3">
      <c r="A291" s="2" t="s">
        <v>10</v>
      </c>
      <c r="B291" s="2">
        <v>2009</v>
      </c>
      <c r="C291" s="2"/>
      <c r="D291" s="2">
        <f>'Assumed Literacy Rate'!J11</f>
        <v>85.30199999999995</v>
      </c>
    </row>
    <row r="292" spans="1:4" x14ac:dyDescent="0.3">
      <c r="A292" s="2" t="s">
        <v>11</v>
      </c>
      <c r="B292" s="2">
        <v>2009</v>
      </c>
      <c r="C292" s="2"/>
      <c r="D292" s="2">
        <f>'Assumed Literacy Rate'!J12</f>
        <v>87.361999999999981</v>
      </c>
    </row>
    <row r="293" spans="1:4" x14ac:dyDescent="0.3">
      <c r="A293" s="2" t="s">
        <v>12</v>
      </c>
      <c r="B293" s="2">
        <v>2009</v>
      </c>
      <c r="C293" s="2"/>
      <c r="D293" s="2">
        <f>'Assumed Literacy Rate'!J13</f>
        <v>76.251999999999967</v>
      </c>
    </row>
    <row r="294" spans="1:4" x14ac:dyDescent="0.3">
      <c r="A294" s="2" t="s">
        <v>13</v>
      </c>
      <c r="B294" s="2">
        <v>2009</v>
      </c>
      <c r="C294" s="2"/>
      <c r="D294" s="2">
        <f>'Assumed Literacy Rate'!J14</f>
        <v>74.021999999999963</v>
      </c>
    </row>
    <row r="295" spans="1:4" x14ac:dyDescent="0.3">
      <c r="A295" s="2" t="s">
        <v>14</v>
      </c>
      <c r="B295" s="2">
        <v>2009</v>
      </c>
      <c r="C295" s="2"/>
      <c r="D295" s="2">
        <f>'Assumed Literacy Rate'!J15</f>
        <v>81.536000000000044</v>
      </c>
    </row>
    <row r="296" spans="1:4" x14ac:dyDescent="0.3">
      <c r="A296" s="2" t="s">
        <v>15</v>
      </c>
      <c r="B296" s="2">
        <v>2009</v>
      </c>
      <c r="C296" s="2"/>
      <c r="D296" s="2">
        <f>'Assumed Literacy Rate'!J16</f>
        <v>64.832000000000008</v>
      </c>
    </row>
    <row r="297" spans="1:4" x14ac:dyDescent="0.3">
      <c r="A297" s="2" t="s">
        <v>16</v>
      </c>
      <c r="B297" s="2">
        <v>2009</v>
      </c>
      <c r="C297" s="2"/>
      <c r="D297" s="2">
        <f>'Assumed Literacy Rate'!J17</f>
        <v>63.839999999999975</v>
      </c>
    </row>
    <row r="298" spans="1:4" x14ac:dyDescent="0.3">
      <c r="A298" s="2" t="s">
        <v>17</v>
      </c>
      <c r="B298" s="2">
        <v>2009</v>
      </c>
      <c r="C298" s="2"/>
      <c r="D298" s="2">
        <f>'Assumed Literacy Rate'!J18</f>
        <v>73.615999999999957</v>
      </c>
    </row>
    <row r="299" spans="1:4" x14ac:dyDescent="0.3">
      <c r="A299" s="2" t="s">
        <v>18</v>
      </c>
      <c r="B299" s="2">
        <v>2009</v>
      </c>
      <c r="C299" s="2"/>
      <c r="D299" s="2">
        <f>'Assumed Literacy Rate'!J19</f>
        <v>93.371999999999957</v>
      </c>
    </row>
    <row r="300" spans="1:4" x14ac:dyDescent="0.3">
      <c r="A300" s="2" t="s">
        <v>19</v>
      </c>
      <c r="B300" s="2">
        <v>2009</v>
      </c>
      <c r="C300" s="2"/>
      <c r="D300" s="2">
        <f>'Assumed Literacy Rate'!J20</f>
        <v>90.81200000000004</v>
      </c>
    </row>
    <row r="301" spans="1:4" x14ac:dyDescent="0.3">
      <c r="A301" s="2" t="s">
        <v>20</v>
      </c>
      <c r="B301" s="2">
        <v>2009</v>
      </c>
      <c r="C301" s="2"/>
      <c r="D301" s="2">
        <f>'Assumed Literacy Rate'!J21</f>
        <v>68.203999999999951</v>
      </c>
    </row>
    <row r="302" spans="1:4" x14ac:dyDescent="0.3">
      <c r="A302" s="2" t="s">
        <v>21</v>
      </c>
      <c r="B302" s="2">
        <v>2009</v>
      </c>
      <c r="C302" s="2"/>
      <c r="D302" s="2">
        <f>'Assumed Literacy Rate'!J22</f>
        <v>81.248000000000047</v>
      </c>
    </row>
    <row r="303" spans="1:4" x14ac:dyDescent="0.3">
      <c r="A303" s="2" t="s">
        <v>22</v>
      </c>
      <c r="B303" s="2">
        <v>2009</v>
      </c>
      <c r="C303" s="2"/>
      <c r="D303" s="2">
        <f>'Assumed Literacy Rate'!J23</f>
        <v>77.460000000000036</v>
      </c>
    </row>
    <row r="304" spans="1:4" x14ac:dyDescent="0.3">
      <c r="A304" s="2" t="s">
        <v>23</v>
      </c>
      <c r="B304" s="2">
        <v>2009</v>
      </c>
      <c r="C304" s="2"/>
      <c r="D304" s="2">
        <f>'Assumed Literacy Rate'!J24</f>
        <v>72.055999999999983</v>
      </c>
    </row>
    <row r="305" spans="1:4" x14ac:dyDescent="0.3">
      <c r="A305" s="2" t="s">
        <v>24</v>
      </c>
      <c r="B305" s="2">
        <v>2009</v>
      </c>
      <c r="C305" s="2"/>
      <c r="D305" s="2">
        <f>'Assumed Literacy Rate'!J25</f>
        <v>90.823999999999998</v>
      </c>
    </row>
    <row r="306" spans="1:4" x14ac:dyDescent="0.3">
      <c r="A306" s="2" t="s">
        <v>25</v>
      </c>
      <c r="B306" s="2">
        <v>2009</v>
      </c>
      <c r="C306" s="2"/>
      <c r="D306" s="2">
        <f>'Assumed Literacy Rate'!J26</f>
        <v>76.998000000000019</v>
      </c>
    </row>
    <row r="307" spans="1:4" x14ac:dyDescent="0.3">
      <c r="A307" s="2" t="s">
        <v>26</v>
      </c>
      <c r="B307" s="2">
        <v>2009</v>
      </c>
      <c r="C307" s="2"/>
      <c r="D307" s="2">
        <f>'Assumed Literacy Rate'!J27</f>
        <v>70.927999999999955</v>
      </c>
    </row>
    <row r="308" spans="1:4" x14ac:dyDescent="0.3">
      <c r="A308" s="2" t="s">
        <v>27</v>
      </c>
      <c r="B308" s="2">
        <v>2009</v>
      </c>
      <c r="C308" s="2"/>
      <c r="D308" s="2">
        <f>'Assumed Literacy Rate'!J28</f>
        <v>84.927999999999983</v>
      </c>
    </row>
    <row r="309" spans="1:4" x14ac:dyDescent="0.3">
      <c r="A309" s="2" t="s">
        <v>28</v>
      </c>
      <c r="B309" s="2">
        <v>2009</v>
      </c>
      <c r="C309" s="2"/>
      <c r="D309" s="2">
        <f>'Assumed Literacy Rate'!J29</f>
        <v>74.602000000000004</v>
      </c>
    </row>
    <row r="310" spans="1:4" x14ac:dyDescent="0.3">
      <c r="A310" s="2" t="s">
        <v>29</v>
      </c>
      <c r="B310" s="2">
        <v>2009</v>
      </c>
      <c r="C310" s="2"/>
      <c r="D310" s="2">
        <f>'Assumed Literacy Rate'!J30</f>
        <v>64.97</v>
      </c>
    </row>
    <row r="311" spans="1:4" x14ac:dyDescent="0.3">
      <c r="A311" s="2" t="s">
        <v>30</v>
      </c>
      <c r="B311" s="2">
        <v>2009</v>
      </c>
      <c r="C311" s="2"/>
      <c r="D311" s="2">
        <f>'Assumed Literacy Rate'!J31</f>
        <v>78.897999999999968</v>
      </c>
    </row>
    <row r="312" spans="1:4" x14ac:dyDescent="0.3">
      <c r="A312" s="2" t="s">
        <v>31</v>
      </c>
      <c r="B312" s="2">
        <v>2009</v>
      </c>
      <c r="C312" s="2"/>
      <c r="D312" s="2">
        <f>'Assumed Literacy Rate'!J32</f>
        <v>78.762000000000015</v>
      </c>
    </row>
    <row r="313" spans="1:4" x14ac:dyDescent="0.3">
      <c r="A313" s="2" t="s">
        <v>32</v>
      </c>
      <c r="B313" s="2">
        <v>2009</v>
      </c>
      <c r="C313" s="2"/>
      <c r="D313" s="2">
        <f>'Assumed Literacy Rate'!J33</f>
        <v>84.414000000000044</v>
      </c>
    </row>
    <row r="314" spans="1:4" x14ac:dyDescent="0.3">
      <c r="A314" s="2" t="s">
        <v>33</v>
      </c>
      <c r="B314" s="2">
        <v>2009</v>
      </c>
      <c r="C314" s="2"/>
      <c r="D314" s="2">
        <f>'Assumed Literacy Rate'!J34</f>
        <v>65.397999999999996</v>
      </c>
    </row>
    <row r="315" spans="1:4" x14ac:dyDescent="0.3">
      <c r="A315" s="2" t="s">
        <v>34</v>
      </c>
      <c r="B315" s="2">
        <v>2009</v>
      </c>
      <c r="C315" s="2"/>
      <c r="D315" s="2">
        <f>'Assumed Literacy Rate'!J35</f>
        <v>77.38</v>
      </c>
    </row>
    <row r="316" spans="1:4" x14ac:dyDescent="0.3">
      <c r="A316" s="2" t="s">
        <v>35</v>
      </c>
      <c r="B316" s="2">
        <v>2009</v>
      </c>
      <c r="C316" s="2"/>
      <c r="D316" s="2">
        <f>'Assumed Literacy Rate'!J36</f>
        <v>74.736000000000004</v>
      </c>
    </row>
    <row r="317" spans="1:4" x14ac:dyDescent="0.3">
      <c r="A317" s="2" t="s">
        <v>0</v>
      </c>
      <c r="B317" s="2">
        <v>2010</v>
      </c>
      <c r="C317" s="2"/>
      <c r="D317" s="2">
        <f>'Assumed Literacy Rate'!K2</f>
        <v>86.097000000000008</v>
      </c>
    </row>
    <row r="318" spans="1:4" x14ac:dyDescent="0.3">
      <c r="A318" s="2" t="s">
        <v>1</v>
      </c>
      <c r="B318" s="2">
        <v>2010</v>
      </c>
      <c r="C318" s="2"/>
      <c r="D318" s="2">
        <f>'Assumed Literacy Rate'!K3</f>
        <v>66.365000000000009</v>
      </c>
    </row>
    <row r="319" spans="1:4" x14ac:dyDescent="0.3">
      <c r="A319" s="2" t="s">
        <v>3</v>
      </c>
      <c r="B319" s="2">
        <v>2010</v>
      </c>
      <c r="C319" s="2"/>
      <c r="D319" s="2">
        <f>'Assumed Literacy Rate'!K4</f>
        <v>64.284999999999982</v>
      </c>
    </row>
    <row r="320" spans="1:4" x14ac:dyDescent="0.3">
      <c r="A320" s="2" t="s">
        <v>4</v>
      </c>
      <c r="B320" s="2">
        <v>2010</v>
      </c>
      <c r="C320" s="2"/>
      <c r="D320" s="2">
        <f>'Assumed Literacy Rate'!K5</f>
        <v>71.296000000000049</v>
      </c>
    </row>
    <row r="321" spans="1:4" x14ac:dyDescent="0.3">
      <c r="A321" s="2" t="s">
        <v>5</v>
      </c>
      <c r="B321" s="2">
        <v>2010</v>
      </c>
      <c r="C321" s="2"/>
      <c r="D321" s="2">
        <f>'Assumed Literacy Rate'!K6</f>
        <v>60.319999999999972</v>
      </c>
    </row>
    <row r="322" spans="1:4" x14ac:dyDescent="0.3">
      <c r="A322" s="2" t="s">
        <v>6</v>
      </c>
      <c r="B322" s="2">
        <v>2010</v>
      </c>
      <c r="C322" s="2"/>
      <c r="D322" s="2">
        <f>'Assumed Literacy Rate'!K7</f>
        <v>85.63900000000001</v>
      </c>
    </row>
    <row r="323" spans="1:4" x14ac:dyDescent="0.3">
      <c r="A323" s="2" t="s">
        <v>7</v>
      </c>
      <c r="B323" s="2">
        <v>2010</v>
      </c>
      <c r="C323" s="2"/>
      <c r="D323" s="2">
        <f>'Assumed Literacy Rate'!K8</f>
        <v>69.717999999999975</v>
      </c>
    </row>
    <row r="324" spans="1:4" x14ac:dyDescent="0.3">
      <c r="A324" s="2" t="s">
        <v>8</v>
      </c>
      <c r="B324" s="2">
        <v>2010</v>
      </c>
      <c r="C324" s="2"/>
      <c r="D324" s="2">
        <f>'Assumed Literacy Rate'!K9</f>
        <v>74.379000000000019</v>
      </c>
    </row>
    <row r="325" spans="1:4" x14ac:dyDescent="0.3">
      <c r="A325" s="2" t="s">
        <v>9</v>
      </c>
      <c r="B325" s="2">
        <v>2010</v>
      </c>
      <c r="C325" s="2"/>
      <c r="D325" s="2">
        <f>'Assumed Literacy Rate'!K10</f>
        <v>86.20799999999997</v>
      </c>
    </row>
    <row r="326" spans="1:4" x14ac:dyDescent="0.3">
      <c r="A326" s="2" t="s">
        <v>10</v>
      </c>
      <c r="B326" s="2">
        <v>2010</v>
      </c>
      <c r="C326" s="2"/>
      <c r="D326" s="2">
        <f>'Assumed Literacy Rate'!K11</f>
        <v>85.755999999999943</v>
      </c>
    </row>
    <row r="327" spans="1:4" x14ac:dyDescent="0.3">
      <c r="A327" s="2" t="s">
        <v>11</v>
      </c>
      <c r="B327" s="2">
        <v>2010</v>
      </c>
      <c r="C327" s="2"/>
      <c r="D327" s="2">
        <f>'Assumed Literacy Rate'!K12</f>
        <v>88.030999999999977</v>
      </c>
    </row>
    <row r="328" spans="1:4" x14ac:dyDescent="0.3">
      <c r="A328" s="2" t="s">
        <v>12</v>
      </c>
      <c r="B328" s="2">
        <v>2010</v>
      </c>
      <c r="C328" s="2"/>
      <c r="D328" s="2">
        <f>'Assumed Literacy Rate'!K13</f>
        <v>77.140999999999963</v>
      </c>
    </row>
    <row r="329" spans="1:4" x14ac:dyDescent="0.3">
      <c r="A329" s="2" t="s">
        <v>13</v>
      </c>
      <c r="B329" s="2">
        <v>2010</v>
      </c>
      <c r="C329" s="2"/>
      <c r="D329" s="2">
        <f>'Assumed Literacy Rate'!K14</f>
        <v>74.785999999999959</v>
      </c>
    </row>
    <row r="330" spans="1:4" x14ac:dyDescent="0.3">
      <c r="A330" s="2" t="s">
        <v>14</v>
      </c>
      <c r="B330" s="2">
        <v>2010</v>
      </c>
      <c r="C330" s="2"/>
      <c r="D330" s="2">
        <f>'Assumed Literacy Rate'!K15</f>
        <v>82.168000000000049</v>
      </c>
    </row>
    <row r="331" spans="1:4" x14ac:dyDescent="0.3">
      <c r="A331" s="2" t="s">
        <v>15</v>
      </c>
      <c r="B331" s="2">
        <v>2010</v>
      </c>
      <c r="C331" s="2"/>
      <c r="D331" s="2">
        <f>'Assumed Literacy Rate'!K16</f>
        <v>65.996000000000009</v>
      </c>
    </row>
    <row r="332" spans="1:4" x14ac:dyDescent="0.3">
      <c r="A332" s="2" t="s">
        <v>16</v>
      </c>
      <c r="B332" s="2">
        <v>2010</v>
      </c>
      <c r="C332" s="2"/>
      <c r="D332" s="2">
        <f>'Assumed Literacy Rate'!K17</f>
        <v>65.124999999999972</v>
      </c>
    </row>
    <row r="333" spans="1:4" x14ac:dyDescent="0.3">
      <c r="A333" s="2" t="s">
        <v>17</v>
      </c>
      <c r="B333" s="2">
        <v>2010</v>
      </c>
      <c r="C333" s="2"/>
      <c r="D333" s="2">
        <f>'Assumed Literacy Rate'!K18</f>
        <v>74.492999999999952</v>
      </c>
    </row>
    <row r="334" spans="1:4" x14ac:dyDescent="0.3">
      <c r="A334" s="2" t="s">
        <v>18</v>
      </c>
      <c r="B334" s="2">
        <v>2010</v>
      </c>
      <c r="C334" s="2"/>
      <c r="D334" s="2">
        <f>'Assumed Literacy Rate'!K19</f>
        <v>93.68599999999995</v>
      </c>
    </row>
    <row r="335" spans="1:4" x14ac:dyDescent="0.3">
      <c r="A335" s="2" t="s">
        <v>19</v>
      </c>
      <c r="B335" s="2">
        <v>2010</v>
      </c>
      <c r="C335" s="2"/>
      <c r="D335" s="2">
        <f>'Assumed Literacy Rate'!K20</f>
        <v>91.331000000000046</v>
      </c>
    </row>
    <row r="336" spans="1:4" x14ac:dyDescent="0.3">
      <c r="A336" s="2" t="s">
        <v>20</v>
      </c>
      <c r="B336" s="2">
        <v>2010</v>
      </c>
      <c r="C336" s="2"/>
      <c r="D336" s="2">
        <f>'Assumed Literacy Rate'!K21</f>
        <v>68.761999999999944</v>
      </c>
    </row>
    <row r="337" spans="1:4" x14ac:dyDescent="0.3">
      <c r="A337" s="2" t="s">
        <v>21</v>
      </c>
      <c r="B337" s="2">
        <v>2010</v>
      </c>
      <c r="C337" s="2"/>
      <c r="D337" s="2">
        <f>'Assumed Literacy Rate'!K22</f>
        <v>81.794000000000054</v>
      </c>
    </row>
    <row r="338" spans="1:4" x14ac:dyDescent="0.3">
      <c r="A338" s="2" t="s">
        <v>22</v>
      </c>
      <c r="B338" s="2">
        <v>2010</v>
      </c>
      <c r="C338" s="2"/>
      <c r="D338" s="2">
        <f>'Assumed Literacy Rate'!K23</f>
        <v>78.330000000000041</v>
      </c>
    </row>
    <row r="339" spans="1:4" x14ac:dyDescent="0.3">
      <c r="A339" s="2" t="s">
        <v>23</v>
      </c>
      <c r="B339" s="2">
        <v>2010</v>
      </c>
      <c r="C339" s="2"/>
      <c r="D339" s="2">
        <f>'Assumed Literacy Rate'!K24</f>
        <v>73.242999999999981</v>
      </c>
    </row>
    <row r="340" spans="1:4" x14ac:dyDescent="0.3">
      <c r="A340" s="2" t="s">
        <v>24</v>
      </c>
      <c r="B340" s="2">
        <v>2010</v>
      </c>
      <c r="C340" s="2"/>
      <c r="D340" s="2">
        <f>'Assumed Literacy Rate'!K25</f>
        <v>91.076999999999998</v>
      </c>
    </row>
    <row r="341" spans="1:4" x14ac:dyDescent="0.3">
      <c r="A341" s="2" t="s">
        <v>25</v>
      </c>
      <c r="B341" s="2">
        <v>2010</v>
      </c>
      <c r="C341" s="2"/>
      <c r="D341" s="2">
        <f>'Assumed Literacy Rate'!K26</f>
        <v>78.299000000000021</v>
      </c>
    </row>
    <row r="342" spans="1:4" x14ac:dyDescent="0.3">
      <c r="A342" s="2" t="s">
        <v>26</v>
      </c>
      <c r="B342" s="2">
        <v>2010</v>
      </c>
      <c r="C342" s="2"/>
      <c r="D342" s="2">
        <f>'Assumed Literacy Rate'!K27</f>
        <v>71.908999999999949</v>
      </c>
    </row>
    <row r="343" spans="1:4" x14ac:dyDescent="0.3">
      <c r="A343" s="2" t="s">
        <v>27</v>
      </c>
      <c r="B343" s="2">
        <v>2010</v>
      </c>
      <c r="C343" s="2"/>
      <c r="D343" s="2">
        <f>'Assumed Literacy Rate'!K28</f>
        <v>85.388999999999982</v>
      </c>
    </row>
    <row r="344" spans="1:4" x14ac:dyDescent="0.3">
      <c r="A344" s="2" t="s">
        <v>28</v>
      </c>
      <c r="B344" s="2">
        <v>2010</v>
      </c>
      <c r="C344" s="2"/>
      <c r="D344" s="2">
        <f>'Assumed Literacy Rate'!K29</f>
        <v>75.221000000000004</v>
      </c>
    </row>
    <row r="345" spans="1:4" x14ac:dyDescent="0.3">
      <c r="A345" s="2" t="s">
        <v>29</v>
      </c>
      <c r="B345" s="2">
        <v>2010</v>
      </c>
      <c r="C345" s="2"/>
      <c r="D345" s="2">
        <f>'Assumed Literacy Rate'!K30</f>
        <v>65.539999999999992</v>
      </c>
    </row>
    <row r="346" spans="1:4" x14ac:dyDescent="0.3">
      <c r="A346" s="2" t="s">
        <v>30</v>
      </c>
      <c r="B346" s="2">
        <v>2010</v>
      </c>
      <c r="C346" s="2"/>
      <c r="D346" s="2">
        <f>'Assumed Literacy Rate'!K31</f>
        <v>80.158999999999963</v>
      </c>
    </row>
    <row r="347" spans="1:4" x14ac:dyDescent="0.3">
      <c r="A347" s="2" t="s">
        <v>31</v>
      </c>
      <c r="B347" s="2">
        <v>2010</v>
      </c>
      <c r="C347" s="2"/>
      <c r="D347" s="2">
        <f>'Assumed Literacy Rate'!K32</f>
        <v>79.426000000000016</v>
      </c>
    </row>
    <row r="348" spans="1:4" x14ac:dyDescent="0.3">
      <c r="A348" s="2" t="s">
        <v>32</v>
      </c>
      <c r="B348" s="2">
        <v>2010</v>
      </c>
      <c r="C348" s="2"/>
      <c r="D348" s="2">
        <f>'Assumed Literacy Rate'!K33</f>
        <v>85.81700000000005</v>
      </c>
    </row>
    <row r="349" spans="1:4" x14ac:dyDescent="0.3">
      <c r="A349" s="2" t="s">
        <v>33</v>
      </c>
      <c r="B349" s="2">
        <v>2010</v>
      </c>
      <c r="C349" s="2"/>
      <c r="D349" s="2">
        <f>'Assumed Literacy Rate'!K34</f>
        <v>66.539000000000001</v>
      </c>
    </row>
    <row r="350" spans="1:4" x14ac:dyDescent="0.3">
      <c r="A350" s="2" t="s">
        <v>34</v>
      </c>
      <c r="B350" s="2">
        <v>2010</v>
      </c>
      <c r="C350" s="2"/>
      <c r="D350" s="2">
        <f>'Assumed Literacy Rate'!K35</f>
        <v>78.099999999999994</v>
      </c>
    </row>
    <row r="351" spans="1:4" x14ac:dyDescent="0.3">
      <c r="A351" s="2" t="s">
        <v>35</v>
      </c>
      <c r="B351" s="2">
        <v>2010</v>
      </c>
      <c r="C351" s="2"/>
      <c r="D351" s="2">
        <f>'Assumed Literacy Rate'!K36</f>
        <v>75.498000000000005</v>
      </c>
    </row>
    <row r="352" spans="1:4" x14ac:dyDescent="0.3">
      <c r="A352"/>
      <c r="B352"/>
      <c r="C352"/>
      <c r="D352"/>
    </row>
    <row r="353" spans="1:4" x14ac:dyDescent="0.3">
      <c r="A353"/>
      <c r="B353"/>
      <c r="C353"/>
      <c r="D353"/>
    </row>
    <row r="354" spans="1:4" x14ac:dyDescent="0.3">
      <c r="A354"/>
      <c r="B354"/>
      <c r="C354"/>
      <c r="D354"/>
    </row>
    <row r="355" spans="1:4" x14ac:dyDescent="0.3">
      <c r="A355"/>
      <c r="B355"/>
      <c r="C355"/>
      <c r="D355"/>
    </row>
    <row r="356" spans="1:4" x14ac:dyDescent="0.3">
      <c r="A356"/>
      <c r="B356"/>
      <c r="C356"/>
      <c r="D356"/>
    </row>
    <row r="357" spans="1:4" x14ac:dyDescent="0.3">
      <c r="A357"/>
      <c r="B357"/>
      <c r="C357"/>
      <c r="D357"/>
    </row>
    <row r="358" spans="1:4" x14ac:dyDescent="0.3">
      <c r="A358"/>
      <c r="B358"/>
      <c r="C358"/>
      <c r="D358"/>
    </row>
    <row r="359" spans="1:4" x14ac:dyDescent="0.3">
      <c r="A359"/>
      <c r="B359"/>
      <c r="C359"/>
      <c r="D359"/>
    </row>
    <row r="360" spans="1:4" x14ac:dyDescent="0.3">
      <c r="A360"/>
      <c r="B360"/>
      <c r="C360"/>
      <c r="D360"/>
    </row>
    <row r="361" spans="1:4" x14ac:dyDescent="0.3">
      <c r="A361"/>
      <c r="B361"/>
      <c r="C361"/>
      <c r="D361"/>
    </row>
    <row r="362" spans="1:4" x14ac:dyDescent="0.3">
      <c r="A362"/>
      <c r="B362"/>
      <c r="C362"/>
      <c r="D362"/>
    </row>
    <row r="363" spans="1:4" x14ac:dyDescent="0.3">
      <c r="A363"/>
      <c r="B363"/>
      <c r="C363"/>
      <c r="D363"/>
    </row>
    <row r="364" spans="1:4" x14ac:dyDescent="0.3">
      <c r="A364"/>
      <c r="B364"/>
      <c r="C364"/>
      <c r="D364"/>
    </row>
    <row r="365" spans="1:4" x14ac:dyDescent="0.3">
      <c r="A365"/>
      <c r="B365"/>
      <c r="C365"/>
      <c r="D365"/>
    </row>
    <row r="366" spans="1:4" x14ac:dyDescent="0.3">
      <c r="A366"/>
      <c r="B366"/>
      <c r="C366"/>
      <c r="D366"/>
    </row>
    <row r="367" spans="1:4" x14ac:dyDescent="0.3">
      <c r="A367"/>
      <c r="B367"/>
      <c r="C367"/>
      <c r="D367"/>
    </row>
    <row r="368" spans="1:4" x14ac:dyDescent="0.3">
      <c r="A368"/>
      <c r="B368"/>
      <c r="C368"/>
      <c r="D368"/>
    </row>
    <row r="369" spans="1:4" x14ac:dyDescent="0.3">
      <c r="A369"/>
      <c r="B369"/>
      <c r="C369"/>
      <c r="D369"/>
    </row>
    <row r="370" spans="1:4" x14ac:dyDescent="0.3">
      <c r="A370"/>
      <c r="B370"/>
      <c r="C370"/>
      <c r="D370"/>
    </row>
    <row r="371" spans="1:4" x14ac:dyDescent="0.3">
      <c r="A371"/>
      <c r="B371"/>
      <c r="C371"/>
      <c r="D371"/>
    </row>
    <row r="372" spans="1:4" x14ac:dyDescent="0.3">
      <c r="A372"/>
      <c r="B372"/>
      <c r="C372"/>
      <c r="D372"/>
    </row>
    <row r="373" spans="1:4" x14ac:dyDescent="0.3">
      <c r="A373"/>
      <c r="B373"/>
      <c r="C373"/>
      <c r="D373"/>
    </row>
    <row r="374" spans="1:4" x14ac:dyDescent="0.3">
      <c r="A374"/>
      <c r="B374"/>
      <c r="C374"/>
      <c r="D374"/>
    </row>
    <row r="375" spans="1:4" x14ac:dyDescent="0.3">
      <c r="A375"/>
      <c r="B375"/>
      <c r="C375"/>
      <c r="D375"/>
    </row>
    <row r="376" spans="1:4" x14ac:dyDescent="0.3">
      <c r="A376"/>
      <c r="B376"/>
      <c r="C376"/>
      <c r="D376"/>
    </row>
    <row r="377" spans="1:4" x14ac:dyDescent="0.3">
      <c r="A377"/>
      <c r="B377"/>
      <c r="C377"/>
      <c r="D377"/>
    </row>
    <row r="378" spans="1:4" x14ac:dyDescent="0.3">
      <c r="A378"/>
      <c r="B378"/>
      <c r="C378"/>
      <c r="D378"/>
    </row>
    <row r="379" spans="1:4" x14ac:dyDescent="0.3">
      <c r="A379"/>
      <c r="B379"/>
      <c r="C379"/>
      <c r="D379"/>
    </row>
    <row r="380" spans="1:4" x14ac:dyDescent="0.3">
      <c r="A380"/>
      <c r="B380"/>
      <c r="C380"/>
      <c r="D380"/>
    </row>
    <row r="381" spans="1:4" x14ac:dyDescent="0.3">
      <c r="A381"/>
      <c r="B381"/>
      <c r="C381"/>
      <c r="D381"/>
    </row>
    <row r="382" spans="1:4" x14ac:dyDescent="0.3">
      <c r="A382"/>
      <c r="B382"/>
      <c r="C382"/>
      <c r="D382"/>
    </row>
    <row r="383" spans="1:4" x14ac:dyDescent="0.3">
      <c r="A383"/>
      <c r="B383"/>
      <c r="C383"/>
      <c r="D383"/>
    </row>
    <row r="384" spans="1:4" x14ac:dyDescent="0.3">
      <c r="A384"/>
      <c r="B384"/>
      <c r="C384"/>
      <c r="D384"/>
    </row>
    <row r="385" spans="1:4" x14ac:dyDescent="0.3">
      <c r="A385"/>
      <c r="B385"/>
      <c r="C385"/>
      <c r="D385"/>
    </row>
    <row r="386" spans="1:4" x14ac:dyDescent="0.3">
      <c r="A386"/>
      <c r="B386"/>
      <c r="C386"/>
      <c r="D386"/>
    </row>
    <row r="387" spans="1:4" x14ac:dyDescent="0.3">
      <c r="A387"/>
      <c r="B387"/>
      <c r="C387"/>
      <c r="D387"/>
    </row>
    <row r="388" spans="1:4" x14ac:dyDescent="0.3">
      <c r="A388"/>
      <c r="B388"/>
      <c r="C388"/>
      <c r="D388"/>
    </row>
    <row r="389" spans="1:4" x14ac:dyDescent="0.3">
      <c r="A389"/>
      <c r="B389"/>
      <c r="C389"/>
      <c r="D389"/>
    </row>
    <row r="390" spans="1:4" x14ac:dyDescent="0.3">
      <c r="A390"/>
      <c r="B390"/>
      <c r="C390"/>
      <c r="D390"/>
    </row>
    <row r="391" spans="1:4" x14ac:dyDescent="0.3">
      <c r="A391"/>
      <c r="B391"/>
      <c r="C391"/>
      <c r="D391"/>
    </row>
    <row r="392" spans="1:4" x14ac:dyDescent="0.3">
      <c r="A392"/>
      <c r="B392"/>
      <c r="C392"/>
      <c r="D392"/>
    </row>
    <row r="393" spans="1:4" x14ac:dyDescent="0.3">
      <c r="A393"/>
      <c r="B393"/>
      <c r="C393"/>
      <c r="D393"/>
    </row>
    <row r="394" spans="1:4" x14ac:dyDescent="0.3">
      <c r="A394"/>
      <c r="B394"/>
      <c r="C394"/>
      <c r="D394"/>
    </row>
    <row r="395" spans="1:4" x14ac:dyDescent="0.3">
      <c r="A395"/>
      <c r="B395"/>
      <c r="C395"/>
      <c r="D395"/>
    </row>
    <row r="396" spans="1:4" x14ac:dyDescent="0.3">
      <c r="A396"/>
      <c r="B396"/>
      <c r="C396"/>
      <c r="D396"/>
    </row>
    <row r="397" spans="1:4" x14ac:dyDescent="0.3">
      <c r="A397"/>
      <c r="B397"/>
      <c r="C397"/>
      <c r="D397"/>
    </row>
    <row r="398" spans="1:4" x14ac:dyDescent="0.3">
      <c r="A398"/>
      <c r="B398"/>
      <c r="C398"/>
      <c r="D398"/>
    </row>
    <row r="399" spans="1:4" x14ac:dyDescent="0.3">
      <c r="A399"/>
      <c r="B399"/>
      <c r="C399"/>
      <c r="D399"/>
    </row>
    <row r="400" spans="1:4" x14ac:dyDescent="0.3">
      <c r="A400"/>
      <c r="B400"/>
      <c r="C400"/>
      <c r="D400"/>
    </row>
    <row r="401" spans="1:4" x14ac:dyDescent="0.3">
      <c r="A401"/>
      <c r="B401"/>
      <c r="C401"/>
      <c r="D401"/>
    </row>
    <row r="402" spans="1:4" x14ac:dyDescent="0.3">
      <c r="A402"/>
      <c r="B402"/>
      <c r="C402"/>
      <c r="D402"/>
    </row>
    <row r="403" spans="1:4" x14ac:dyDescent="0.3">
      <c r="A403"/>
      <c r="B403"/>
      <c r="C403"/>
      <c r="D403"/>
    </row>
    <row r="404" spans="1:4" x14ac:dyDescent="0.3">
      <c r="A404"/>
      <c r="B404"/>
      <c r="C404"/>
      <c r="D404"/>
    </row>
    <row r="405" spans="1:4" x14ac:dyDescent="0.3">
      <c r="A405"/>
      <c r="B405"/>
      <c r="C405"/>
      <c r="D405"/>
    </row>
    <row r="406" spans="1:4" x14ac:dyDescent="0.3">
      <c r="A406"/>
      <c r="B406"/>
      <c r="C406"/>
      <c r="D406"/>
    </row>
    <row r="407" spans="1:4" x14ac:dyDescent="0.3">
      <c r="A407"/>
      <c r="B407"/>
      <c r="C407"/>
      <c r="D407"/>
    </row>
    <row r="408" spans="1:4" x14ac:dyDescent="0.3">
      <c r="A408"/>
      <c r="B408"/>
      <c r="C408"/>
      <c r="D408"/>
    </row>
    <row r="409" spans="1:4" x14ac:dyDescent="0.3">
      <c r="A409"/>
      <c r="B409"/>
      <c r="C409"/>
      <c r="D409"/>
    </row>
    <row r="410" spans="1:4" x14ac:dyDescent="0.3">
      <c r="A410"/>
      <c r="B410"/>
      <c r="C410"/>
      <c r="D410"/>
    </row>
    <row r="411" spans="1:4" x14ac:dyDescent="0.3">
      <c r="A411"/>
      <c r="B411"/>
      <c r="C411"/>
      <c r="D411"/>
    </row>
    <row r="412" spans="1:4" x14ac:dyDescent="0.3">
      <c r="A412"/>
      <c r="B412"/>
      <c r="C412"/>
      <c r="D412"/>
    </row>
    <row r="413" spans="1:4" x14ac:dyDescent="0.3">
      <c r="A413"/>
      <c r="B413"/>
      <c r="C413"/>
      <c r="D413"/>
    </row>
    <row r="414" spans="1:4" x14ac:dyDescent="0.3">
      <c r="A414"/>
      <c r="B414"/>
      <c r="C414"/>
      <c r="D414"/>
    </row>
    <row r="415" spans="1:4" x14ac:dyDescent="0.3">
      <c r="A415"/>
      <c r="B415"/>
      <c r="C415"/>
      <c r="D415"/>
    </row>
    <row r="416" spans="1:4" x14ac:dyDescent="0.3">
      <c r="A416"/>
      <c r="B416"/>
      <c r="C416"/>
      <c r="D416"/>
    </row>
    <row r="417" spans="1:4" x14ac:dyDescent="0.3">
      <c r="A417"/>
      <c r="B417"/>
      <c r="C417"/>
      <c r="D417"/>
    </row>
    <row r="418" spans="1:4" x14ac:dyDescent="0.3">
      <c r="A418"/>
      <c r="B418"/>
      <c r="C418"/>
      <c r="D418"/>
    </row>
    <row r="419" spans="1:4" x14ac:dyDescent="0.3">
      <c r="A419"/>
      <c r="B419"/>
      <c r="C419"/>
      <c r="D419"/>
    </row>
    <row r="420" spans="1:4" x14ac:dyDescent="0.3">
      <c r="A420"/>
      <c r="B420"/>
      <c r="C420"/>
      <c r="D420"/>
    </row>
    <row r="421" spans="1:4" x14ac:dyDescent="0.3">
      <c r="A421"/>
      <c r="B421"/>
      <c r="C421"/>
      <c r="D421"/>
    </row>
    <row r="422" spans="1:4" x14ac:dyDescent="0.3">
      <c r="A422"/>
      <c r="B422"/>
      <c r="C422"/>
      <c r="D422"/>
    </row>
    <row r="423" spans="1:4" x14ac:dyDescent="0.3">
      <c r="A423"/>
      <c r="B423"/>
      <c r="C423"/>
      <c r="D423"/>
    </row>
    <row r="424" spans="1:4" x14ac:dyDescent="0.3">
      <c r="A424"/>
      <c r="B424"/>
      <c r="C424"/>
      <c r="D424"/>
    </row>
    <row r="425" spans="1:4" x14ac:dyDescent="0.3">
      <c r="A425"/>
      <c r="B425"/>
      <c r="C425"/>
      <c r="D425"/>
    </row>
    <row r="426" spans="1:4" x14ac:dyDescent="0.3">
      <c r="A426"/>
      <c r="B426"/>
      <c r="C426"/>
      <c r="D426"/>
    </row>
    <row r="427" spans="1:4" x14ac:dyDescent="0.3">
      <c r="A427"/>
      <c r="B427"/>
      <c r="C427"/>
      <c r="D427"/>
    </row>
    <row r="428" spans="1:4" x14ac:dyDescent="0.3">
      <c r="A428"/>
      <c r="B428"/>
      <c r="C428"/>
      <c r="D428"/>
    </row>
    <row r="429" spans="1:4" x14ac:dyDescent="0.3">
      <c r="A429"/>
      <c r="B429"/>
      <c r="C429"/>
      <c r="D429"/>
    </row>
    <row r="430" spans="1:4" x14ac:dyDescent="0.3">
      <c r="A430"/>
      <c r="B430"/>
      <c r="C430"/>
      <c r="D430"/>
    </row>
    <row r="431" spans="1:4" x14ac:dyDescent="0.3">
      <c r="A431"/>
      <c r="B431"/>
      <c r="C431"/>
      <c r="D431"/>
    </row>
    <row r="432" spans="1:4" x14ac:dyDescent="0.3">
      <c r="A432"/>
      <c r="B432"/>
      <c r="C432"/>
      <c r="D432"/>
    </row>
    <row r="433" spans="1:4" x14ac:dyDescent="0.3">
      <c r="A433"/>
      <c r="B433"/>
      <c r="C433"/>
      <c r="D433"/>
    </row>
    <row r="434" spans="1:4" x14ac:dyDescent="0.3">
      <c r="A434"/>
      <c r="B434"/>
      <c r="C434"/>
      <c r="D434"/>
    </row>
    <row r="435" spans="1:4" x14ac:dyDescent="0.3">
      <c r="A435"/>
      <c r="B435"/>
      <c r="C435"/>
      <c r="D435"/>
    </row>
    <row r="436" spans="1:4" x14ac:dyDescent="0.3">
      <c r="A436"/>
      <c r="B436"/>
      <c r="C436"/>
      <c r="D436"/>
    </row>
    <row r="437" spans="1:4" x14ac:dyDescent="0.3">
      <c r="A437"/>
      <c r="B437"/>
      <c r="C437"/>
      <c r="D437"/>
    </row>
    <row r="438" spans="1:4" x14ac:dyDescent="0.3">
      <c r="A438"/>
      <c r="B438"/>
      <c r="C438"/>
      <c r="D438"/>
    </row>
    <row r="439" spans="1:4" x14ac:dyDescent="0.3">
      <c r="A439"/>
      <c r="B439"/>
      <c r="C439"/>
      <c r="D439"/>
    </row>
    <row r="440" spans="1:4" x14ac:dyDescent="0.3">
      <c r="A440"/>
      <c r="B440"/>
      <c r="C440"/>
      <c r="D440"/>
    </row>
    <row r="441" spans="1:4" x14ac:dyDescent="0.3">
      <c r="A441"/>
      <c r="B441"/>
      <c r="C441"/>
      <c r="D441"/>
    </row>
    <row r="442" spans="1:4" x14ac:dyDescent="0.3">
      <c r="A442"/>
      <c r="B442"/>
      <c r="C442"/>
      <c r="D442"/>
    </row>
    <row r="443" spans="1:4" x14ac:dyDescent="0.3">
      <c r="A443"/>
      <c r="B443"/>
      <c r="C443"/>
      <c r="D443"/>
    </row>
    <row r="444" spans="1:4" x14ac:dyDescent="0.3">
      <c r="A444"/>
      <c r="B444"/>
      <c r="C444"/>
      <c r="D444"/>
    </row>
    <row r="445" spans="1:4" x14ac:dyDescent="0.3">
      <c r="A445"/>
      <c r="B445"/>
      <c r="C445"/>
      <c r="D445"/>
    </row>
    <row r="446" spans="1:4" x14ac:dyDescent="0.3">
      <c r="A446"/>
      <c r="B446"/>
      <c r="C446"/>
      <c r="D446"/>
    </row>
    <row r="447" spans="1:4" x14ac:dyDescent="0.3">
      <c r="A447"/>
      <c r="B447"/>
      <c r="C447"/>
      <c r="D447"/>
    </row>
    <row r="448" spans="1:4" x14ac:dyDescent="0.3">
      <c r="A448"/>
      <c r="B448"/>
      <c r="C448"/>
      <c r="D448"/>
    </row>
    <row r="449" spans="1:4" x14ac:dyDescent="0.3">
      <c r="A449"/>
      <c r="B449"/>
      <c r="C449"/>
      <c r="D449"/>
    </row>
    <row r="450" spans="1:4" x14ac:dyDescent="0.3">
      <c r="A450"/>
      <c r="B450"/>
      <c r="C450"/>
      <c r="D450"/>
    </row>
    <row r="451" spans="1:4" x14ac:dyDescent="0.3">
      <c r="A451"/>
      <c r="B451"/>
      <c r="C451"/>
      <c r="D451"/>
    </row>
    <row r="452" spans="1:4" x14ac:dyDescent="0.3">
      <c r="A452"/>
      <c r="B452"/>
      <c r="C452"/>
      <c r="D452"/>
    </row>
    <row r="453" spans="1:4" x14ac:dyDescent="0.3">
      <c r="A453"/>
      <c r="B453"/>
      <c r="C453"/>
      <c r="D453"/>
    </row>
    <row r="454" spans="1:4" x14ac:dyDescent="0.3">
      <c r="A454"/>
      <c r="B454"/>
      <c r="C454"/>
      <c r="D454"/>
    </row>
    <row r="455" spans="1:4" x14ac:dyDescent="0.3">
      <c r="A455"/>
      <c r="B455"/>
      <c r="C455"/>
      <c r="D455"/>
    </row>
    <row r="456" spans="1:4" x14ac:dyDescent="0.3">
      <c r="A456"/>
      <c r="B456"/>
      <c r="C456"/>
      <c r="D456"/>
    </row>
    <row r="457" spans="1:4" x14ac:dyDescent="0.3">
      <c r="A457"/>
      <c r="B457"/>
      <c r="C457"/>
      <c r="D457"/>
    </row>
    <row r="458" spans="1:4" x14ac:dyDescent="0.3">
      <c r="A458"/>
      <c r="B458"/>
      <c r="C458"/>
      <c r="D458"/>
    </row>
    <row r="459" spans="1:4" x14ac:dyDescent="0.3">
      <c r="A459"/>
      <c r="B459"/>
      <c r="C459"/>
      <c r="D459"/>
    </row>
    <row r="460" spans="1:4" x14ac:dyDescent="0.3">
      <c r="A460"/>
      <c r="B460"/>
      <c r="C460"/>
      <c r="D460"/>
    </row>
    <row r="461" spans="1:4" x14ac:dyDescent="0.3">
      <c r="A461"/>
      <c r="B461"/>
      <c r="C461"/>
      <c r="D461"/>
    </row>
    <row r="462" spans="1:4" x14ac:dyDescent="0.3">
      <c r="A462"/>
      <c r="B462"/>
      <c r="C462"/>
      <c r="D462"/>
    </row>
    <row r="463" spans="1:4" x14ac:dyDescent="0.3">
      <c r="A463"/>
      <c r="B463"/>
      <c r="C463"/>
      <c r="D463"/>
    </row>
    <row r="464" spans="1:4" x14ac:dyDescent="0.3">
      <c r="A464"/>
      <c r="B464"/>
      <c r="C464"/>
      <c r="D464"/>
    </row>
    <row r="465" spans="1:4" x14ac:dyDescent="0.3">
      <c r="A465"/>
      <c r="B465"/>
      <c r="C465"/>
      <c r="D465"/>
    </row>
    <row r="466" spans="1:4" x14ac:dyDescent="0.3">
      <c r="A466"/>
      <c r="B466"/>
      <c r="C466"/>
      <c r="D466"/>
    </row>
    <row r="467" spans="1:4" x14ac:dyDescent="0.3">
      <c r="A467"/>
      <c r="B467"/>
      <c r="C467"/>
      <c r="D467"/>
    </row>
    <row r="468" spans="1:4" x14ac:dyDescent="0.3">
      <c r="A468"/>
      <c r="B468"/>
      <c r="C468"/>
      <c r="D468"/>
    </row>
    <row r="469" spans="1:4" x14ac:dyDescent="0.3">
      <c r="A469"/>
      <c r="B469"/>
      <c r="C469"/>
      <c r="D469"/>
    </row>
    <row r="470" spans="1:4" x14ac:dyDescent="0.3">
      <c r="A470"/>
      <c r="B470"/>
      <c r="C470"/>
      <c r="D470"/>
    </row>
    <row r="471" spans="1:4" x14ac:dyDescent="0.3">
      <c r="A471"/>
      <c r="B471"/>
      <c r="C471"/>
      <c r="D471"/>
    </row>
    <row r="472" spans="1:4" x14ac:dyDescent="0.3">
      <c r="A472"/>
      <c r="B472"/>
      <c r="C472"/>
      <c r="D472"/>
    </row>
    <row r="473" spans="1:4" x14ac:dyDescent="0.3">
      <c r="A473"/>
      <c r="B473"/>
      <c r="C473"/>
      <c r="D473"/>
    </row>
    <row r="474" spans="1:4" x14ac:dyDescent="0.3">
      <c r="A474"/>
      <c r="B474"/>
      <c r="C474"/>
      <c r="D474"/>
    </row>
    <row r="475" spans="1:4" x14ac:dyDescent="0.3">
      <c r="A475"/>
      <c r="B475"/>
      <c r="C475"/>
      <c r="D475"/>
    </row>
    <row r="476" spans="1:4" x14ac:dyDescent="0.3">
      <c r="A476"/>
      <c r="B476"/>
      <c r="C476"/>
      <c r="D476"/>
    </row>
    <row r="477" spans="1:4" x14ac:dyDescent="0.3">
      <c r="A477"/>
      <c r="B477"/>
      <c r="C477"/>
      <c r="D477"/>
    </row>
    <row r="478" spans="1:4" x14ac:dyDescent="0.3">
      <c r="A478"/>
      <c r="B478"/>
      <c r="C478"/>
      <c r="D478"/>
    </row>
    <row r="479" spans="1:4" x14ac:dyDescent="0.3">
      <c r="A479"/>
      <c r="B479"/>
      <c r="C479"/>
      <c r="D479"/>
    </row>
    <row r="480" spans="1:4" x14ac:dyDescent="0.3">
      <c r="A480"/>
      <c r="B480"/>
      <c r="C480"/>
      <c r="D480"/>
    </row>
    <row r="481" spans="1:4" x14ac:dyDescent="0.3">
      <c r="A481"/>
      <c r="B481"/>
      <c r="C481"/>
      <c r="D481"/>
    </row>
    <row r="482" spans="1:4" x14ac:dyDescent="0.3">
      <c r="A482"/>
      <c r="B482"/>
      <c r="C482"/>
      <c r="D482"/>
    </row>
    <row r="483" spans="1:4" x14ac:dyDescent="0.3">
      <c r="A483"/>
      <c r="B483"/>
      <c r="C483"/>
      <c r="D483"/>
    </row>
    <row r="484" spans="1:4" x14ac:dyDescent="0.3">
      <c r="A484"/>
      <c r="B484"/>
      <c r="C484"/>
      <c r="D484"/>
    </row>
    <row r="485" spans="1:4" x14ac:dyDescent="0.3">
      <c r="A485"/>
      <c r="B485"/>
      <c r="C485"/>
      <c r="D485"/>
    </row>
    <row r="486" spans="1:4" x14ac:dyDescent="0.3">
      <c r="A486"/>
      <c r="B486"/>
      <c r="C486"/>
      <c r="D486"/>
    </row>
    <row r="487" spans="1:4" x14ac:dyDescent="0.3">
      <c r="A487"/>
      <c r="B487"/>
      <c r="C487"/>
      <c r="D487"/>
    </row>
    <row r="488" spans="1:4" x14ac:dyDescent="0.3">
      <c r="A488"/>
      <c r="B488"/>
      <c r="C488"/>
      <c r="D488"/>
    </row>
    <row r="489" spans="1:4" x14ac:dyDescent="0.3">
      <c r="A489"/>
      <c r="B489"/>
      <c r="C489"/>
      <c r="D489"/>
    </row>
    <row r="490" spans="1:4" x14ac:dyDescent="0.3">
      <c r="A490"/>
      <c r="B490"/>
      <c r="C490"/>
      <c r="D490"/>
    </row>
    <row r="491" spans="1:4" x14ac:dyDescent="0.3">
      <c r="A491"/>
      <c r="B491"/>
      <c r="C491"/>
      <c r="D491"/>
    </row>
    <row r="492" spans="1:4" x14ac:dyDescent="0.3">
      <c r="A492"/>
      <c r="B492"/>
      <c r="C492"/>
      <c r="D492"/>
    </row>
    <row r="493" spans="1:4" x14ac:dyDescent="0.3">
      <c r="A493"/>
      <c r="B493"/>
      <c r="C493"/>
      <c r="D493"/>
    </row>
    <row r="494" spans="1:4" x14ac:dyDescent="0.3">
      <c r="A494"/>
      <c r="B494"/>
      <c r="C494"/>
      <c r="D494"/>
    </row>
    <row r="495" spans="1:4" x14ac:dyDescent="0.3">
      <c r="A495"/>
      <c r="B495"/>
      <c r="C495"/>
      <c r="D495"/>
    </row>
    <row r="496" spans="1:4" x14ac:dyDescent="0.3">
      <c r="A496"/>
      <c r="B496"/>
      <c r="C496"/>
      <c r="D496"/>
    </row>
    <row r="497" spans="1:4" x14ac:dyDescent="0.3">
      <c r="A497"/>
      <c r="B497"/>
      <c r="C497"/>
      <c r="D497"/>
    </row>
    <row r="498" spans="1:4" x14ac:dyDescent="0.3">
      <c r="A498"/>
      <c r="B498"/>
      <c r="C498"/>
      <c r="D498"/>
    </row>
    <row r="499" spans="1:4" x14ac:dyDescent="0.3">
      <c r="A499"/>
      <c r="B499"/>
      <c r="C499"/>
      <c r="D499"/>
    </row>
    <row r="500" spans="1:4" x14ac:dyDescent="0.3">
      <c r="A500"/>
      <c r="B500"/>
      <c r="C500"/>
      <c r="D500"/>
    </row>
    <row r="501" spans="1:4" x14ac:dyDescent="0.3">
      <c r="A501"/>
      <c r="B501"/>
      <c r="C501"/>
      <c r="D501"/>
    </row>
    <row r="502" spans="1:4" x14ac:dyDescent="0.3">
      <c r="A502"/>
      <c r="B502"/>
      <c r="C502"/>
      <c r="D502"/>
    </row>
    <row r="503" spans="1:4" x14ac:dyDescent="0.3">
      <c r="A503"/>
      <c r="B503"/>
      <c r="C503"/>
      <c r="D503"/>
    </row>
    <row r="504" spans="1:4" x14ac:dyDescent="0.3">
      <c r="A504"/>
      <c r="B504"/>
      <c r="C504"/>
      <c r="D504"/>
    </row>
    <row r="505" spans="1:4" x14ac:dyDescent="0.3">
      <c r="A505"/>
      <c r="B505"/>
      <c r="C505"/>
      <c r="D505"/>
    </row>
    <row r="506" spans="1:4" x14ac:dyDescent="0.3">
      <c r="A506"/>
      <c r="B506"/>
      <c r="C506"/>
      <c r="D506"/>
    </row>
    <row r="507" spans="1:4" x14ac:dyDescent="0.3">
      <c r="A507"/>
      <c r="B507"/>
      <c r="C507"/>
      <c r="D507"/>
    </row>
    <row r="508" spans="1:4" x14ac:dyDescent="0.3">
      <c r="A508"/>
      <c r="B508"/>
      <c r="C508"/>
      <c r="D508"/>
    </row>
    <row r="509" spans="1:4" x14ac:dyDescent="0.3">
      <c r="A509"/>
      <c r="B509"/>
      <c r="C509"/>
      <c r="D509"/>
    </row>
    <row r="510" spans="1:4" x14ac:dyDescent="0.3">
      <c r="A510"/>
      <c r="B510"/>
      <c r="C510"/>
      <c r="D510"/>
    </row>
    <row r="511" spans="1:4" x14ac:dyDescent="0.3">
      <c r="A511"/>
      <c r="B511"/>
      <c r="C511"/>
      <c r="D511"/>
    </row>
    <row r="512" spans="1:4" x14ac:dyDescent="0.3">
      <c r="A512"/>
      <c r="B512"/>
      <c r="C512"/>
      <c r="D512"/>
    </row>
    <row r="513" spans="1:4" x14ac:dyDescent="0.3">
      <c r="A513"/>
      <c r="B513"/>
      <c r="C513"/>
      <c r="D513"/>
    </row>
    <row r="514" spans="1:4" x14ac:dyDescent="0.3">
      <c r="A514"/>
      <c r="B514"/>
      <c r="C514"/>
      <c r="D514"/>
    </row>
    <row r="515" spans="1:4" x14ac:dyDescent="0.3">
      <c r="A515"/>
      <c r="B515"/>
      <c r="C515"/>
      <c r="D515"/>
    </row>
    <row r="516" spans="1:4" x14ac:dyDescent="0.3">
      <c r="A516"/>
      <c r="B516"/>
      <c r="C516"/>
      <c r="D516"/>
    </row>
    <row r="517" spans="1:4" x14ac:dyDescent="0.3">
      <c r="A517"/>
      <c r="B517"/>
      <c r="C517"/>
      <c r="D517"/>
    </row>
    <row r="518" spans="1:4" x14ac:dyDescent="0.3">
      <c r="A518"/>
      <c r="B518"/>
      <c r="C518"/>
      <c r="D518"/>
    </row>
    <row r="519" spans="1:4" x14ac:dyDescent="0.3">
      <c r="A519"/>
      <c r="B519"/>
      <c r="C519"/>
      <c r="D519"/>
    </row>
    <row r="520" spans="1:4" x14ac:dyDescent="0.3">
      <c r="A520"/>
      <c r="B520"/>
      <c r="C520"/>
      <c r="D520"/>
    </row>
    <row r="521" spans="1:4" x14ac:dyDescent="0.3">
      <c r="A521"/>
      <c r="B521"/>
      <c r="C521"/>
      <c r="D521"/>
    </row>
    <row r="522" spans="1:4" x14ac:dyDescent="0.3">
      <c r="A522"/>
      <c r="B522"/>
      <c r="C522"/>
      <c r="D522"/>
    </row>
    <row r="523" spans="1:4" x14ac:dyDescent="0.3">
      <c r="A523"/>
      <c r="B523"/>
      <c r="C523"/>
      <c r="D523"/>
    </row>
    <row r="524" spans="1:4" x14ac:dyDescent="0.3">
      <c r="A524"/>
      <c r="B524"/>
      <c r="C524"/>
      <c r="D524"/>
    </row>
    <row r="525" spans="1:4" x14ac:dyDescent="0.3">
      <c r="A525"/>
      <c r="B525"/>
      <c r="C525"/>
      <c r="D525"/>
    </row>
    <row r="526" spans="1:4" x14ac:dyDescent="0.3">
      <c r="A526"/>
      <c r="B526"/>
      <c r="C526"/>
      <c r="D5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Literacy Rate</vt:lpstr>
      <vt:lpstr>Assumed Literacy Rate</vt:lpstr>
      <vt:lpstr>Compiled Data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oscar jacob</cp:lastModifiedBy>
  <dcterms:created xsi:type="dcterms:W3CDTF">2023-11-16T08:11:49Z</dcterms:created>
  <dcterms:modified xsi:type="dcterms:W3CDTF">2024-01-10T20:58:36Z</dcterms:modified>
</cp:coreProperties>
</file>